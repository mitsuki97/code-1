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9040" windowHeight="15840"/>
  </bookViews>
  <sheets>
    <sheet name="下注输入" sheetId="1" r:id="rId1"/>
    <sheet name="上分记录" sheetId="4" r:id="rId2"/>
    <sheet name="历史账单" sheetId="3" r:id="rId3"/>
    <sheet name="综合设置" sheetId="2" r:id="rId4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" i="3" l="1"/>
  <c r="AH1" i="3"/>
  <c r="AG3" i="3"/>
  <c r="AH3" i="3"/>
  <c r="O1" i="3"/>
  <c r="P1" i="3"/>
  <c r="Q1" i="3"/>
  <c r="N3" i="1" s="1"/>
  <c r="N4" i="1" s="1"/>
  <c r="R1" i="3"/>
  <c r="S1" i="3"/>
  <c r="T1" i="3"/>
  <c r="Q3" i="1" s="1"/>
  <c r="Q4" i="1" s="1"/>
  <c r="U1" i="3"/>
  <c r="V1" i="3"/>
  <c r="W1" i="3"/>
  <c r="T3" i="1" s="1"/>
  <c r="T4" i="1" s="1"/>
  <c r="X1" i="3"/>
  <c r="Y1" i="3"/>
  <c r="V3" i="1" s="1"/>
  <c r="V4" i="1" s="1"/>
  <c r="Z1" i="3"/>
  <c r="AA1" i="3"/>
  <c r="X3" i="1" s="1"/>
  <c r="X4" i="1" s="1"/>
  <c r="AB1" i="3"/>
  <c r="Y3" i="1" s="1"/>
  <c r="Y4" i="1" s="1"/>
  <c r="AC1" i="3"/>
  <c r="AD1" i="3"/>
  <c r="AE1" i="3"/>
  <c r="AB3" i="1" s="1"/>
  <c r="AB4" i="1" s="1"/>
  <c r="AF1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L1" i="4"/>
  <c r="M1" i="4"/>
  <c r="M3" i="1" s="1"/>
  <c r="M4" i="1" s="1"/>
  <c r="N1" i="4"/>
  <c r="O1" i="4"/>
  <c r="P1" i="4"/>
  <c r="Q1" i="4"/>
  <c r="R1" i="4"/>
  <c r="S1" i="4"/>
  <c r="S3" i="1" s="1"/>
  <c r="S4" i="1" s="1"/>
  <c r="T1" i="4"/>
  <c r="U1" i="4"/>
  <c r="U3" i="1" s="1"/>
  <c r="U4" i="1" s="1"/>
  <c r="V1" i="4"/>
  <c r="W1" i="4"/>
  <c r="X1" i="4"/>
  <c r="Y1" i="4"/>
  <c r="Z1" i="4"/>
  <c r="AA1" i="4"/>
  <c r="AA3" i="1" s="1"/>
  <c r="AA4" i="1" s="1"/>
  <c r="AB1" i="4"/>
  <c r="AC1" i="4"/>
  <c r="AC3" i="1" s="1"/>
  <c r="AC4" i="1" s="1"/>
  <c r="AD1" i="4"/>
  <c r="AE1" i="4"/>
  <c r="AE3" i="1" s="1"/>
  <c r="AE4" i="1" s="1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U35" i="1"/>
  <c r="D37" i="1"/>
  <c r="L3" i="1"/>
  <c r="L4" i="1" s="1"/>
  <c r="P3" i="1"/>
  <c r="P4" i="1" s="1"/>
  <c r="R3" i="1"/>
  <c r="R4" i="1" s="1"/>
  <c r="Z3" i="1"/>
  <c r="Z4" i="1" s="1"/>
  <c r="AD3" i="1"/>
  <c r="AD4" i="1" s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T35" i="1"/>
  <c r="Q35" i="1"/>
  <c r="O35" i="1"/>
  <c r="L35" i="1"/>
  <c r="G37" i="1"/>
  <c r="R35" i="1"/>
  <c r="J35" i="1"/>
  <c r="N35" i="1"/>
  <c r="H37" i="1"/>
  <c r="S35" i="1"/>
  <c r="M35" i="1"/>
  <c r="I35" i="1"/>
  <c r="E37" i="1"/>
  <c r="P35" i="1"/>
  <c r="K35" i="1"/>
  <c r="F37" i="1"/>
  <c r="W3" i="1" l="1"/>
  <c r="W4" i="1" s="1"/>
  <c r="O3" i="1"/>
  <c r="O4" i="1" s="1"/>
  <c r="G36" i="1"/>
  <c r="H36" i="1" s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F36" i="1"/>
  <c r="C6" i="1" l="1"/>
  <c r="D6" i="1"/>
  <c r="E6" i="1"/>
  <c r="F6" i="1"/>
  <c r="G6" i="1"/>
  <c r="H6" i="1"/>
  <c r="I6" i="1"/>
  <c r="J6" i="1"/>
  <c r="K6" i="1"/>
  <c r="B6" i="1"/>
  <c r="C1" i="4" l="1"/>
  <c r="D1" i="4"/>
  <c r="E1" i="4"/>
  <c r="F1" i="4"/>
  <c r="G1" i="4"/>
  <c r="H1" i="4"/>
  <c r="I1" i="4"/>
  <c r="J1" i="4"/>
  <c r="K1" i="4"/>
  <c r="B1" i="4"/>
  <c r="D2" i="4"/>
  <c r="E2" i="4"/>
  <c r="F2" i="4"/>
  <c r="G2" i="4"/>
  <c r="H2" i="4"/>
  <c r="I2" i="4"/>
  <c r="J2" i="4"/>
  <c r="K2" i="4"/>
  <c r="C2" i="4"/>
  <c r="B2" i="4"/>
  <c r="F1" i="3"/>
  <c r="C3" i="1" s="1"/>
  <c r="C4" i="1" s="1"/>
  <c r="G1" i="3"/>
  <c r="D3" i="1" s="1"/>
  <c r="D4" i="1" s="1"/>
  <c r="H1" i="3"/>
  <c r="E3" i="1" s="1"/>
  <c r="E4" i="1" s="1"/>
  <c r="I1" i="3"/>
  <c r="J1" i="3"/>
  <c r="K1" i="3"/>
  <c r="L1" i="3"/>
  <c r="I3" i="1" s="1"/>
  <c r="I4" i="1" s="1"/>
  <c r="M1" i="3"/>
  <c r="J3" i="1" s="1"/>
  <c r="J4" i="1" s="1"/>
  <c r="N1" i="3"/>
  <c r="K3" i="1" s="1"/>
  <c r="K4" i="1" s="1"/>
  <c r="E1" i="3"/>
  <c r="B3" i="1" l="1"/>
  <c r="B4" i="1" s="1"/>
  <c r="B1" i="3"/>
  <c r="A2" i="4"/>
  <c r="F3" i="1"/>
  <c r="F4" i="1" s="1"/>
  <c r="H3" i="1"/>
  <c r="H4" i="1" s="1"/>
  <c r="G3" i="1"/>
  <c r="G4" i="1" s="1"/>
  <c r="F3" i="3"/>
  <c r="G3" i="3"/>
  <c r="H3" i="3"/>
  <c r="I3" i="3"/>
  <c r="J3" i="3"/>
  <c r="K3" i="3"/>
  <c r="L3" i="3"/>
  <c r="M3" i="3"/>
  <c r="N3" i="3"/>
  <c r="E3" i="3"/>
  <c r="G35" i="1" l="1"/>
  <c r="H35" i="1"/>
  <c r="E35" i="1"/>
  <c r="F35" i="1"/>
  <c r="D35" i="1" l="1"/>
</calcChain>
</file>

<file path=xl/sharedStrings.xml><?xml version="1.0" encoding="utf-8"?>
<sst xmlns="http://schemas.openxmlformats.org/spreadsheetml/2006/main" count="364" uniqueCount="108">
  <si>
    <t>玩家1</t>
    <phoneticPr fontId="1" type="noConversion"/>
  </si>
  <si>
    <t>玩家2</t>
  </si>
  <si>
    <t>玩家3</t>
  </si>
  <si>
    <t>玩家4</t>
  </si>
  <si>
    <t>玩家5</t>
  </si>
  <si>
    <t>玩家6</t>
  </si>
  <si>
    <t>玩家7</t>
  </si>
  <si>
    <t>玩家8</t>
  </si>
  <si>
    <t>玩家9</t>
  </si>
  <si>
    <t>玩家10</t>
  </si>
  <si>
    <t>大</t>
    <phoneticPr fontId="1" type="noConversion"/>
  </si>
  <si>
    <t>小</t>
    <phoneticPr fontId="1" type="noConversion"/>
  </si>
  <si>
    <t>单</t>
    <phoneticPr fontId="1" type="noConversion"/>
  </si>
  <si>
    <t>双</t>
    <phoneticPr fontId="1" type="noConversion"/>
  </si>
  <si>
    <t>对1</t>
    <phoneticPr fontId="1" type="noConversion"/>
  </si>
  <si>
    <t>对2</t>
  </si>
  <si>
    <t>对3</t>
  </si>
  <si>
    <t>对4</t>
  </si>
  <si>
    <t>对5</t>
  </si>
  <si>
    <t>对6</t>
  </si>
  <si>
    <t>豹1</t>
    <phoneticPr fontId="1" type="noConversion"/>
  </si>
  <si>
    <t>豹2</t>
  </si>
  <si>
    <t>豹3</t>
  </si>
  <si>
    <t>豹4</t>
  </si>
  <si>
    <t>豹5</t>
  </si>
  <si>
    <t>豹6</t>
  </si>
  <si>
    <t>本期账</t>
    <phoneticPr fontId="1" type="noConversion"/>
  </si>
  <si>
    <t>原余额</t>
    <phoneticPr fontId="1" type="noConversion"/>
  </si>
  <si>
    <t>新余额</t>
    <phoneticPr fontId="1" type="noConversion"/>
  </si>
  <si>
    <t>江</t>
    <phoneticPr fontId="1" type="noConversion"/>
  </si>
  <si>
    <t>苏</t>
    <phoneticPr fontId="1" type="noConversion"/>
  </si>
  <si>
    <t>快</t>
    <phoneticPr fontId="1" type="noConversion"/>
  </si>
  <si>
    <t>开</t>
    <phoneticPr fontId="1" type="noConversion"/>
  </si>
  <si>
    <t>奖</t>
    <phoneticPr fontId="1" type="noConversion"/>
  </si>
  <si>
    <t>：</t>
    <phoneticPr fontId="1" type="noConversion"/>
  </si>
  <si>
    <t>大小单双</t>
    <phoneticPr fontId="1" type="noConversion"/>
  </si>
  <si>
    <t>对子</t>
    <phoneticPr fontId="1" type="noConversion"/>
  </si>
  <si>
    <t>豹子</t>
    <phoneticPr fontId="1" type="noConversion"/>
  </si>
  <si>
    <t>赔率</t>
    <phoneticPr fontId="1" type="noConversion"/>
  </si>
  <si>
    <t>项目</t>
    <phoneticPr fontId="1" type="noConversion"/>
  </si>
  <si>
    <t>序</t>
    <phoneticPr fontId="1" type="noConversion"/>
  </si>
  <si>
    <t>赔率设置</t>
    <phoneticPr fontId="1" type="noConversion"/>
  </si>
  <si>
    <t>点数4</t>
    <phoneticPr fontId="1" type="noConversion"/>
  </si>
  <si>
    <t>点数5</t>
    <phoneticPr fontId="1" type="noConversion"/>
  </si>
  <si>
    <t>点数6</t>
  </si>
  <si>
    <t>点数7</t>
  </si>
  <si>
    <t>点数8</t>
  </si>
  <si>
    <t>点数9</t>
  </si>
  <si>
    <t>点数10</t>
  </si>
  <si>
    <t>点数11</t>
  </si>
  <si>
    <t>点数12</t>
  </si>
  <si>
    <t>点数13</t>
  </si>
  <si>
    <t>点数14</t>
  </si>
  <si>
    <t>点数15</t>
  </si>
  <si>
    <t>点数16</t>
  </si>
  <si>
    <t>点数17</t>
  </si>
  <si>
    <t>◆</t>
  </si>
  <si>
    <t>合计</t>
    <phoneticPr fontId="1" type="noConversion"/>
  </si>
  <si>
    <t>结果</t>
    <phoneticPr fontId="1" type="noConversion"/>
  </si>
  <si>
    <t>时间</t>
    <phoneticPr fontId="1" type="noConversion"/>
  </si>
  <si>
    <t>期数</t>
    <phoneticPr fontId="1" type="noConversion"/>
  </si>
  <si>
    <t>清空下注</t>
    <phoneticPr fontId="1" type="noConversion"/>
  </si>
  <si>
    <t>×</t>
    <phoneticPr fontId="1" type="noConversion"/>
  </si>
  <si>
    <t>×
×
×</t>
    <phoneticPr fontId="1" type="noConversion"/>
  </si>
  <si>
    <t>群账</t>
    <phoneticPr fontId="1" type="noConversion"/>
  </si>
  <si>
    <t>其他设置</t>
    <phoneticPr fontId="1" type="noConversion"/>
  </si>
  <si>
    <t>参数</t>
    <phoneticPr fontId="1" type="noConversion"/>
  </si>
  <si>
    <t>玩家数目</t>
    <phoneticPr fontId="1" type="noConversion"/>
  </si>
  <si>
    <t/>
  </si>
  <si>
    <t>下注额</t>
    <phoneticPr fontId="1" type="noConversion"/>
  </si>
  <si>
    <t>报网</t>
    <phoneticPr fontId="1" type="noConversion"/>
  </si>
  <si>
    <t>对1</t>
    <phoneticPr fontId="1" type="noConversion"/>
  </si>
  <si>
    <t>豹1</t>
    <phoneticPr fontId="1" type="noConversion"/>
  </si>
  <si>
    <t>行号</t>
    <phoneticPr fontId="1" type="noConversion"/>
  </si>
  <si>
    <t>表格版本</t>
    <phoneticPr fontId="1" type="noConversion"/>
  </si>
  <si>
    <t>大小</t>
    <phoneticPr fontId="1" type="noConversion"/>
  </si>
  <si>
    <t>单双</t>
    <phoneticPr fontId="1" type="noConversion"/>
  </si>
  <si>
    <t>19.02.11版</t>
    <phoneticPr fontId="1" type="noConversion"/>
  </si>
  <si>
    <t>玩家11</t>
  </si>
  <si>
    <t>玩家12</t>
  </si>
  <si>
    <t>玩家13</t>
  </si>
  <si>
    <t>玩家14</t>
  </si>
  <si>
    <t>玩家15</t>
  </si>
  <si>
    <t>玩家16</t>
  </si>
  <si>
    <t>玩家17</t>
  </si>
  <si>
    <t>玩家18</t>
  </si>
  <si>
    <t>玩家19</t>
  </si>
  <si>
    <t>玩家20</t>
  </si>
  <si>
    <t>玩家21</t>
  </si>
  <si>
    <t>玩家22</t>
  </si>
  <si>
    <t>玩家23</t>
  </si>
  <si>
    <t>玩家24</t>
  </si>
  <si>
    <t>玩家25</t>
  </si>
  <si>
    <t>玩家26</t>
  </si>
  <si>
    <t>玩家27</t>
  </si>
  <si>
    <t>玩家28</t>
  </si>
  <si>
    <t>玩家29</t>
  </si>
  <si>
    <t>玩家30</t>
  </si>
  <si>
    <t>和值1</t>
  </si>
  <si>
    <t>和值2</t>
  </si>
  <si>
    <t>和值3</t>
  </si>
  <si>
    <t>和值4</t>
  </si>
  <si>
    <t>和值5</t>
  </si>
  <si>
    <t>金额1</t>
  </si>
  <si>
    <t>金额2</t>
  </si>
  <si>
    <t>金额3</t>
  </si>
  <si>
    <t>金额4</t>
  </si>
  <si>
    <t>金额5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</si>
</sst>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b/>
      <sz val="24"/>
      <color theme="1"/>
      <name val="黑体"/>
      <family val="3"/>
      <charset val="134"/>
    </font>
    <font>
      <b/>
      <sz val="16"/>
      <color theme="1"/>
      <name val="黑体"/>
      <family val="3"/>
      <charset val="134"/>
    </font>
    <font>
      <b/>
      <sz val="12"/>
      <color theme="1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0"/>
      <color rgb="FF0000FF"/>
      <name val="宋体"/>
      <family val="3"/>
      <charset val="134"/>
    </font>
    <font>
      <sz val="10"/>
      <color theme="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</fonts>
  <fills count="2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E0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8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9" fillId="20" borderId="1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20" borderId="3" xfId="0" applyFont="1" applyFill="1" applyBorder="1" applyAlignment="1">
      <alignment horizontal="center" vertical="center"/>
    </xf>
    <xf numFmtId="0" fontId="2" fillId="19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" fillId="21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 applyProtection="1">
      <alignment horizontal="center" vertical="center"/>
      <protection locked="0"/>
    </xf>
    <xf numFmtId="0" fontId="2" fillId="25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176" fontId="2" fillId="26" borderId="1" xfId="0" applyNumberFormat="1" applyFont="1" applyFill="1" applyBorder="1" applyAlignment="1">
      <alignment horizontal="center" vertical="center"/>
    </xf>
    <xf numFmtId="0" fontId="7" fillId="16" borderId="7" xfId="0" applyFont="1" applyFill="1" applyBorder="1" applyAlignment="1">
      <alignment horizontal="center" vertical="center"/>
    </xf>
    <xf numFmtId="0" fontId="7" fillId="16" borderId="8" xfId="0" applyFont="1" applyFill="1" applyBorder="1" applyAlignment="1">
      <alignment horizontal="center" vertical="center"/>
    </xf>
    <xf numFmtId="0" fontId="7" fillId="16" borderId="9" xfId="0" applyFont="1" applyFill="1" applyBorder="1" applyAlignment="1">
      <alignment horizontal="center" vertical="center"/>
    </xf>
    <xf numFmtId="0" fontId="7" fillId="16" borderId="10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2" fillId="15" borderId="6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 wrapText="1"/>
    </xf>
    <xf numFmtId="0" fontId="3" fillId="14" borderId="12" xfId="0" applyFont="1" applyFill="1" applyBorder="1" applyAlignment="1">
      <alignment horizontal="center" vertical="center"/>
    </xf>
    <xf numFmtId="0" fontId="3" fillId="14" borderId="6" xfId="0" applyFont="1" applyFill="1" applyBorder="1" applyAlignment="1">
      <alignment horizontal="center" vertical="center"/>
    </xf>
    <xf numFmtId="0" fontId="8" fillId="20" borderId="13" xfId="0" applyFont="1" applyFill="1" applyBorder="1" applyAlignment="1">
      <alignment horizontal="center" vertical="center"/>
    </xf>
    <xf numFmtId="0" fontId="8" fillId="20" borderId="14" xfId="0" applyFont="1" applyFill="1" applyBorder="1" applyAlignment="1">
      <alignment horizontal="center" vertical="center"/>
    </xf>
    <xf numFmtId="0" fontId="8" fillId="20" borderId="15" xfId="0" applyFont="1" applyFill="1" applyBorder="1" applyAlignment="1">
      <alignment horizontal="center" vertical="center"/>
    </xf>
    <xf numFmtId="0" fontId="8" fillId="20" borderId="1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11" fillId="22" borderId="1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ont>
        <b/>
        <i val="0"/>
        <color rgb="FFFF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FF99"/>
      <color rgb="FF00FFCC"/>
      <color rgb="FFFF00FF"/>
      <color rgb="FF0000FF"/>
      <color rgb="FFFF99CC"/>
      <color rgb="FFFFCC99"/>
      <color rgb="FFCCFFFF"/>
      <color rgb="FFFFFFCC"/>
      <color rgb="FFCCECFF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9526</xdr:colOff>
      <xdr:row>1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420D078-2189-4943-80BA-971FB812A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514350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AH37"/>
  <sheetViews>
    <sheetView tabSelected="1" workbookViewId="0">
      <selection activeCell="B1" sqref="B1"/>
    </sheetView>
  </sheetViews>
  <sheetFormatPr defaultColWidth="6.625" defaultRowHeight="15" customHeight="1"/>
  <cols>
    <col min="1" max="1" width="6.625" style="1"/>
    <col min="2" max="2" width="6.625" style="1" customWidth="1"/>
    <col min="3" max="16384" width="6.625" style="1"/>
  </cols>
  <sheetData>
    <row r="1" spans="1:31" ht="39.950000000000003" customHeight="1">
      <c r="A1" s="2"/>
      <c r="B1" s="24" t="s">
        <v>29</v>
      </c>
      <c r="C1" s="25" t="s">
        <v>30</v>
      </c>
      <c r="D1" s="25" t="s">
        <v>31</v>
      </c>
      <c r="E1" s="25">
        <v>3</v>
      </c>
      <c r="F1" s="25" t="s">
        <v>32</v>
      </c>
      <c r="G1" s="25" t="s">
        <v>33</v>
      </c>
      <c r="H1" s="25" t="s">
        <v>34</v>
      </c>
      <c r="I1" s="8"/>
      <c r="J1" s="8"/>
      <c r="K1" s="9"/>
    </row>
    <row r="2" spans="1:31" ht="15" customHeight="1">
      <c r="A2" s="18" t="s">
        <v>56</v>
      </c>
      <c r="B2" s="30" t="s">
        <v>0</v>
      </c>
      <c r="C2" s="30" t="s">
        <v>1</v>
      </c>
      <c r="D2" s="30" t="s">
        <v>2</v>
      </c>
      <c r="E2" s="30" t="s">
        <v>3</v>
      </c>
      <c r="F2" s="30" t="s">
        <v>4</v>
      </c>
      <c r="G2" s="30" t="s">
        <v>5</v>
      </c>
      <c r="H2" s="30" t="s">
        <v>6</v>
      </c>
      <c r="I2" s="30" t="s">
        <v>7</v>
      </c>
      <c r="J2" s="30" t="s">
        <v>8</v>
      </c>
      <c r="K2" s="30" t="s">
        <v>9</v>
      </c>
      <c r="L2" s="30" t="s">
        <v>78</v>
      </c>
      <c r="M2" s="30" t="s">
        <v>79</v>
      </c>
      <c r="N2" s="30" t="s">
        <v>80</v>
      </c>
      <c r="O2" s="30" t="s">
        <v>81</v>
      </c>
      <c r="P2" s="30" t="s">
        <v>82</v>
      </c>
      <c r="Q2" s="30" t="s">
        <v>83</v>
      </c>
      <c r="R2" s="30" t="s">
        <v>84</v>
      </c>
      <c r="S2" s="30" t="s">
        <v>85</v>
      </c>
      <c r="T2" s="30" t="s">
        <v>86</v>
      </c>
      <c r="U2" s="30" t="s">
        <v>87</v>
      </c>
      <c r="V2" s="30" t="s">
        <v>88</v>
      </c>
      <c r="W2" s="30" t="s">
        <v>89</v>
      </c>
      <c r="X2" s="30" t="s">
        <v>90</v>
      </c>
      <c r="Y2" s="30" t="s">
        <v>91</v>
      </c>
      <c r="Z2" s="30" t="s">
        <v>92</v>
      </c>
      <c r="AA2" s="30" t="s">
        <v>93</v>
      </c>
      <c r="AB2" s="30" t="s">
        <v>94</v>
      </c>
      <c r="AC2" s="30" t="s">
        <v>95</v>
      </c>
      <c r="AD2" s="30" t="s">
        <v>96</v>
      </c>
      <c r="AE2" s="30" t="s">
        <v>97</v>
      </c>
    </row>
    <row r="3" spans="1:31" ht="15" customHeight="1">
      <c r="A3" s="7" t="s">
        <v>28</v>
      </c>
      <c r="B3" s="11">
        <f>历史账单!E1+上分记录!B1</f>
        <v>0</v>
      </c>
      <c r="C3" s="11">
        <f>历史账单!F1+上分记录!C1</f>
        <v>0</v>
      </c>
      <c r="D3" s="11">
        <f>历史账单!G1+上分记录!D1</f>
        <v>0</v>
      </c>
      <c r="E3" s="11">
        <f>历史账单!H1+上分记录!E1</f>
        <v>0</v>
      </c>
      <c r="F3" s="11">
        <f>历史账单!I1+上分记录!F1</f>
        <v>0</v>
      </c>
      <c r="G3" s="11">
        <f>历史账单!J1+上分记录!G1</f>
        <v>0</v>
      </c>
      <c r="H3" s="11">
        <f>历史账单!K1+上分记录!H1</f>
        <v>0</v>
      </c>
      <c r="I3" s="11">
        <f>历史账单!L1+上分记录!I1</f>
        <v>0</v>
      </c>
      <c r="J3" s="11">
        <f>历史账单!M1+上分记录!J1</f>
        <v>0</v>
      </c>
      <c r="K3" s="11">
        <f>历史账单!N1+上分记录!K1</f>
        <v>0</v>
      </c>
      <c r="L3" s="11">
        <f>历史账单!O1+上分记录!L1</f>
        <v>0</v>
      </c>
      <c r="M3" s="11">
        <f>历史账单!P1+上分记录!M1</f>
        <v>0</v>
      </c>
      <c r="N3" s="11">
        <f>历史账单!Q1+上分记录!N1</f>
        <v>0</v>
      </c>
      <c r="O3" s="11">
        <f>历史账单!R1+上分记录!O1</f>
        <v>0</v>
      </c>
      <c r="P3" s="11">
        <f>历史账单!S1+上分记录!P1</f>
        <v>0</v>
      </c>
      <c r="Q3" s="11">
        <f>历史账单!T1+上分记录!Q1</f>
        <v>0</v>
      </c>
      <c r="R3" s="11">
        <f>历史账单!U1+上分记录!R1</f>
        <v>0</v>
      </c>
      <c r="S3" s="11">
        <f>历史账单!V1+上分记录!S1</f>
        <v>0</v>
      </c>
      <c r="T3" s="11">
        <f>历史账单!W1+上分记录!T1</f>
        <v>0</v>
      </c>
      <c r="U3" s="11">
        <f>历史账单!X1+上分记录!U1</f>
        <v>0</v>
      </c>
      <c r="V3" s="11">
        <f>历史账单!Y1+上分记录!V1</f>
        <v>0</v>
      </c>
      <c r="W3" s="11">
        <f>历史账单!Z1+上分记录!W1</f>
        <v>0</v>
      </c>
      <c r="X3" s="11">
        <f>历史账单!AA1+上分记录!X1</f>
        <v>0</v>
      </c>
      <c r="Y3" s="11">
        <f>历史账单!AB1+上分记录!Y1</f>
        <v>0</v>
      </c>
      <c r="Z3" s="11">
        <f>历史账单!AC1+上分记录!Z1</f>
        <v>0</v>
      </c>
      <c r="AA3" s="11">
        <f>历史账单!AD1+上分记录!AA1</f>
        <v>0</v>
      </c>
      <c r="AB3" s="11">
        <f>历史账单!AE1+上分记录!AB1</f>
        <v>0</v>
      </c>
      <c r="AC3" s="11">
        <f>历史账单!AF1+上分记录!AC1</f>
        <v>0</v>
      </c>
      <c r="AD3" s="11">
        <f>历史账单!AG1+上分记录!AD1</f>
        <v>0</v>
      </c>
      <c r="AE3" s="11">
        <f>历史账单!AH1+上分记录!AE1</f>
        <v>0</v>
      </c>
    </row>
    <row r="4" spans="1:31" ht="15" customHeight="1">
      <c r="A4" s="7" t="s">
        <v>27</v>
      </c>
      <c r="B4" s="10">
        <f t="shared" ref="B4:K4" si="0">B3-B5</f>
        <v>0</v>
      </c>
      <c r="C4" s="10">
        <f t="shared" si="0"/>
        <v>0</v>
      </c>
      <c r="D4" s="10">
        <f t="shared" si="0"/>
        <v>0</v>
      </c>
      <c r="E4" s="10">
        <f t="shared" si="0"/>
        <v>0</v>
      </c>
      <c r="F4" s="10">
        <f t="shared" si="0"/>
        <v>0</v>
      </c>
      <c r="G4" s="10">
        <f t="shared" si="0"/>
        <v>0</v>
      </c>
      <c r="H4" s="10">
        <f t="shared" si="0"/>
        <v>0</v>
      </c>
      <c r="I4" s="10">
        <f t="shared" si="0"/>
        <v>0</v>
      </c>
      <c r="J4" s="10">
        <f t="shared" si="0"/>
        <v>0</v>
      </c>
      <c r="K4" s="10">
        <f t="shared" si="0"/>
        <v>0</v>
      </c>
      <c r="L4" s="10">
        <f t="shared" ref="L4:AE4" si="1">L3-L5</f>
        <v>0</v>
      </c>
      <c r="M4" s="10">
        <f t="shared" si="1"/>
        <v>0</v>
      </c>
      <c r="N4" s="10">
        <f t="shared" si="1"/>
        <v>0</v>
      </c>
      <c r="O4" s="10">
        <f t="shared" si="1"/>
        <v>0</v>
      </c>
      <c r="P4" s="10">
        <f t="shared" si="1"/>
        <v>0</v>
      </c>
      <c r="Q4" s="10">
        <f t="shared" si="1"/>
        <v>0</v>
      </c>
      <c r="R4" s="10">
        <f t="shared" si="1"/>
        <v>0</v>
      </c>
      <c r="S4" s="10">
        <f t="shared" si="1"/>
        <v>0</v>
      </c>
      <c r="T4" s="10">
        <f t="shared" si="1"/>
        <v>0</v>
      </c>
      <c r="U4" s="10">
        <f t="shared" si="1"/>
        <v>0</v>
      </c>
      <c r="V4" s="10">
        <f t="shared" si="1"/>
        <v>0</v>
      </c>
      <c r="W4" s="10">
        <f t="shared" si="1"/>
        <v>0</v>
      </c>
      <c r="X4" s="10">
        <f t="shared" si="1"/>
        <v>0</v>
      </c>
      <c r="Y4" s="10">
        <f t="shared" si="1"/>
        <v>0</v>
      </c>
      <c r="Z4" s="10">
        <f t="shared" si="1"/>
        <v>0</v>
      </c>
      <c r="AA4" s="10">
        <f t="shared" si="1"/>
        <v>0</v>
      </c>
      <c r="AB4" s="10">
        <f t="shared" si="1"/>
        <v>0</v>
      </c>
      <c r="AC4" s="10">
        <f t="shared" si="1"/>
        <v>0</v>
      </c>
      <c r="AD4" s="10">
        <f t="shared" si="1"/>
        <v>0</v>
      </c>
      <c r="AE4" s="10">
        <f t="shared" si="1"/>
        <v>0</v>
      </c>
    </row>
    <row r="5" spans="1:31" ht="15" customHeight="1">
      <c r="A5" s="7" t="s">
        <v>26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C5" s="10">
        <v>0</v>
      </c>
      <c r="AD5" s="10">
        <v>0</v>
      </c>
      <c r="AE5" s="10">
        <v>0</v>
      </c>
    </row>
    <row r="6" spans="1:31" ht="15" customHeight="1">
      <c r="A6" s="7" t="s">
        <v>69</v>
      </c>
      <c r="B6" s="34">
        <f t="shared" ref="B6:K6" si="2">SUM(B7:B32)-SUM(B23,B25,B27,B29,B31)</f>
        <v>0</v>
      </c>
      <c r="C6" s="34">
        <f t="shared" si="2"/>
        <v>0</v>
      </c>
      <c r="D6" s="34">
        <f t="shared" si="2"/>
        <v>0</v>
      </c>
      <c r="E6" s="34">
        <f t="shared" si="2"/>
        <v>0</v>
      </c>
      <c r="F6" s="34">
        <f t="shared" si="2"/>
        <v>0</v>
      </c>
      <c r="G6" s="34">
        <f t="shared" si="2"/>
        <v>0</v>
      </c>
      <c r="H6" s="34">
        <f t="shared" si="2"/>
        <v>0</v>
      </c>
      <c r="I6" s="34">
        <f t="shared" si="2"/>
        <v>0</v>
      </c>
      <c r="J6" s="34">
        <f t="shared" si="2"/>
        <v>0</v>
      </c>
      <c r="K6" s="34">
        <f t="shared" si="2"/>
        <v>0</v>
      </c>
      <c r="L6" s="34">
        <f t="shared" ref="L6:AE6" si="3">SUM(L7:L32)-SUM(L23,L25,L27,L29,L31)</f>
        <v>0</v>
      </c>
      <c r="M6" s="34">
        <f t="shared" si="3"/>
        <v>0</v>
      </c>
      <c r="N6" s="34">
        <f t="shared" si="3"/>
        <v>0</v>
      </c>
      <c r="O6" s="34">
        <f t="shared" si="3"/>
        <v>0</v>
      </c>
      <c r="P6" s="34">
        <f t="shared" si="3"/>
        <v>0</v>
      </c>
      <c r="Q6" s="34">
        <f t="shared" si="3"/>
        <v>0</v>
      </c>
      <c r="R6" s="34">
        <f t="shared" si="3"/>
        <v>0</v>
      </c>
      <c r="S6" s="34">
        <f t="shared" si="3"/>
        <v>0</v>
      </c>
      <c r="T6" s="34">
        <f t="shared" si="3"/>
        <v>0</v>
      </c>
      <c r="U6" s="34">
        <f t="shared" si="3"/>
        <v>0</v>
      </c>
      <c r="V6" s="34">
        <f t="shared" si="3"/>
        <v>0</v>
      </c>
      <c r="W6" s="34">
        <f t="shared" si="3"/>
        <v>0</v>
      </c>
      <c r="X6" s="34">
        <f t="shared" si="3"/>
        <v>0</v>
      </c>
      <c r="Y6" s="34">
        <f t="shared" si="3"/>
        <v>0</v>
      </c>
      <c r="Z6" s="34">
        <f t="shared" si="3"/>
        <v>0</v>
      </c>
      <c r="AA6" s="34">
        <f t="shared" si="3"/>
        <v>0</v>
      </c>
      <c r="AB6" s="34">
        <f t="shared" si="3"/>
        <v>0</v>
      </c>
      <c r="AC6" s="34">
        <f t="shared" si="3"/>
        <v>0</v>
      </c>
      <c r="AD6" s="34">
        <f t="shared" si="3"/>
        <v>0</v>
      </c>
      <c r="AE6" s="34">
        <f t="shared" si="3"/>
        <v>0</v>
      </c>
    </row>
    <row r="7" spans="1:31" ht="15" customHeight="1">
      <c r="A7" s="3" t="s">
        <v>10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</row>
    <row r="8" spans="1:31" ht="15" customHeight="1">
      <c r="A8" s="3" t="s">
        <v>11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</row>
    <row r="9" spans="1:31" ht="15" customHeight="1">
      <c r="A9" s="3" t="s">
        <v>12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</row>
    <row r="10" spans="1:31" ht="15" customHeight="1">
      <c r="A10" s="3" t="s">
        <v>13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1:31" ht="15" customHeight="1">
      <c r="A11" s="4" t="s">
        <v>14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1" ht="15" customHeight="1">
      <c r="A12" s="4" t="s">
        <v>15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1" ht="15" customHeight="1">
      <c r="A13" s="4" t="s">
        <v>16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1" ht="15" customHeight="1">
      <c r="A14" s="4" t="s">
        <v>17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1" ht="15" customHeight="1">
      <c r="A15" s="4" t="s">
        <v>18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1" ht="15" customHeight="1">
      <c r="A16" s="4" t="s">
        <v>19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1:31" ht="15" customHeight="1">
      <c r="A17" s="5" t="s">
        <v>20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</row>
    <row r="18" spans="1:31" ht="15" customHeight="1">
      <c r="A18" s="5" t="s">
        <v>21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</row>
    <row r="19" spans="1:31" ht="15" customHeight="1">
      <c r="A19" s="5" t="s">
        <v>22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</row>
    <row r="20" spans="1:31" ht="15" customHeight="1">
      <c r="A20" s="5" t="s">
        <v>23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</row>
    <row r="21" spans="1:31" ht="15" customHeight="1">
      <c r="A21" s="5" t="s">
        <v>24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</row>
    <row r="22" spans="1:31" ht="15" customHeight="1">
      <c r="A22" s="5" t="s">
        <v>25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3" spans="1:31" ht="15" customHeight="1">
      <c r="A23" s="6" t="s">
        <v>98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</row>
    <row r="24" spans="1:31" ht="15" customHeight="1">
      <c r="A24" s="6" t="s">
        <v>103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</row>
    <row r="25" spans="1:31" ht="15" customHeight="1">
      <c r="A25" s="6" t="s">
        <v>99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5" customHeight="1">
      <c r="A26" s="6" t="s">
        <v>104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5" customHeight="1">
      <c r="A27" s="6" t="s">
        <v>100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</row>
    <row r="28" spans="1:31" ht="15" customHeight="1">
      <c r="A28" s="6" t="s">
        <v>105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1:31" ht="15" customHeight="1">
      <c r="A29" s="6" t="s">
        <v>101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5" customHeight="1">
      <c r="A30" s="6" t="s">
        <v>106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5" customHeight="1">
      <c r="A31" s="6" t="s">
        <v>102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spans="1:31" ht="15" customHeight="1">
      <c r="A32" s="6" t="s">
        <v>107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spans="1:34" ht="15" customHeight="1" thickBot="1"/>
    <row r="34" spans="1:34" ht="15" customHeight="1">
      <c r="A34" s="35" t="s">
        <v>61</v>
      </c>
      <c r="B34" s="36"/>
      <c r="D34" s="32" t="s">
        <v>70</v>
      </c>
      <c r="E34" s="39" t="s">
        <v>75</v>
      </c>
      <c r="F34" s="40"/>
      <c r="G34" s="39" t="s">
        <v>76</v>
      </c>
      <c r="H34" s="40"/>
      <c r="I34" s="31" t="s">
        <v>71</v>
      </c>
      <c r="J34" s="31" t="s">
        <v>15</v>
      </c>
      <c r="K34" s="31" t="s">
        <v>16</v>
      </c>
      <c r="L34" s="31" t="s">
        <v>17</v>
      </c>
      <c r="M34" s="31" t="s">
        <v>18</v>
      </c>
      <c r="N34" s="31" t="s">
        <v>19</v>
      </c>
      <c r="O34" s="2" t="s">
        <v>72</v>
      </c>
      <c r="P34" s="2" t="s">
        <v>21</v>
      </c>
      <c r="Q34" s="2" t="s">
        <v>22</v>
      </c>
      <c r="R34" s="2" t="s">
        <v>23</v>
      </c>
      <c r="S34" s="2" t="s">
        <v>24</v>
      </c>
      <c r="T34" s="2" t="s">
        <v>25</v>
      </c>
      <c r="U34" s="3">
        <v>4</v>
      </c>
      <c r="V34" s="3">
        <v>5</v>
      </c>
      <c r="W34" s="3">
        <v>6</v>
      </c>
      <c r="X34" s="3">
        <v>7</v>
      </c>
      <c r="Y34" s="3">
        <v>8</v>
      </c>
      <c r="Z34" s="3">
        <v>9</v>
      </c>
      <c r="AA34" s="3">
        <v>10</v>
      </c>
      <c r="AB34" s="3">
        <v>11</v>
      </c>
      <c r="AC34" s="3">
        <v>12</v>
      </c>
      <c r="AD34" s="3">
        <v>13</v>
      </c>
      <c r="AE34" s="3">
        <v>14</v>
      </c>
      <c r="AF34" s="3">
        <v>15</v>
      </c>
      <c r="AG34" s="3">
        <v>16</v>
      </c>
      <c r="AH34" s="3">
        <v>17</v>
      </c>
    </row>
    <row r="35" spans="1:34" ht="15" customHeight="1" thickBot="1">
      <c r="A35" s="37"/>
      <c r="B35" s="38"/>
      <c r="D35" s="33">
        <f ca="1">SUM(I35:AH35)+SUM(F35,H35)</f>
        <v>0</v>
      </c>
      <c r="E35" s="22" t="str">
        <f ca="1">IF(E37=F37,"无",IF(E37&gt;F37,"大","小"))</f>
        <v>无</v>
      </c>
      <c r="F35" s="22">
        <f ca="1">ABS(E37-F37)</f>
        <v>0</v>
      </c>
      <c r="G35" s="22" t="str">
        <f ca="1">IF(G37=H37,"无",IF(G37&gt;H37,"单","双"))</f>
        <v>无</v>
      </c>
      <c r="H35" s="22">
        <f ca="1">ABS(G37-H37)</f>
        <v>0</v>
      </c>
      <c r="I35" s="31">
        <f ca="1">SUM(INDIRECT("r"&amp;I36&amp;"c2",0):INDIRECT("r"&amp;I36&amp;"c"&amp;$D37+1,0))</f>
        <v>0</v>
      </c>
      <c r="J35" s="31">
        <f ca="1">SUM(INDIRECT("r"&amp;J36&amp;"c2",0):INDIRECT("r"&amp;J36&amp;"c"&amp;$D37+1,0))</f>
        <v>0</v>
      </c>
      <c r="K35" s="31">
        <f ca="1">SUM(INDIRECT("r"&amp;K36&amp;"c2",0):INDIRECT("r"&amp;K36&amp;"c"&amp;$D37+1,0))</f>
        <v>0</v>
      </c>
      <c r="L35" s="31">
        <f ca="1">SUM(INDIRECT("r"&amp;L36&amp;"c2",0):INDIRECT("r"&amp;L36&amp;"c"&amp;$D37+1,0))</f>
        <v>0</v>
      </c>
      <c r="M35" s="31">
        <f ca="1">SUM(INDIRECT("r"&amp;M36&amp;"c2",0):INDIRECT("r"&amp;M36&amp;"c"&amp;$D37+1,0))</f>
        <v>0</v>
      </c>
      <c r="N35" s="31">
        <f ca="1">SUM(INDIRECT("r"&amp;N36&amp;"c2",0):INDIRECT("r"&amp;N36&amp;"c"&amp;$D37+1,0))</f>
        <v>0</v>
      </c>
      <c r="O35" s="2">
        <f ca="1">SUM(INDIRECT("r"&amp;O36&amp;"c2",0):INDIRECT("r"&amp;O36&amp;"c"&amp;$D37+1,0))</f>
        <v>0</v>
      </c>
      <c r="P35" s="2">
        <f ca="1">SUM(INDIRECT("r"&amp;P36&amp;"c2",0):INDIRECT("r"&amp;P36&amp;"c"&amp;$D37+1,0))</f>
        <v>0</v>
      </c>
      <c r="Q35" s="2">
        <f ca="1">SUM(INDIRECT("r"&amp;Q36&amp;"c2",0):INDIRECT("r"&amp;Q36&amp;"c"&amp;$D37+1,0))</f>
        <v>0</v>
      </c>
      <c r="R35" s="2">
        <f ca="1">SUM(INDIRECT("r"&amp;R36&amp;"c2",0):INDIRECT("r"&amp;R36&amp;"c"&amp;$D37+1,0))</f>
        <v>0</v>
      </c>
      <c r="S35" s="2">
        <f ca="1">SUM(INDIRECT("r"&amp;S36&amp;"c2",0):INDIRECT("r"&amp;S36&amp;"c"&amp;$D37+1,0))</f>
        <v>0</v>
      </c>
      <c r="T35" s="2">
        <f ca="1">SUM(INDIRECT("r"&amp;T36&amp;"c2",0):INDIRECT("r"&amp;T36&amp;"c"&amp;$D37+1,0))</f>
        <v>0</v>
      </c>
      <c r="U35" s="3">
        <f>SUMIF($B23:$AE23,U34,$B24:$AE24)+SUMIF($B25:$AE25,U34,$B26:$AE26)+SUMIF($B27:$AE27,U34,$B28:$AE28)+SUMIF($B29:$AE29,U34,$B30:$AE30)+SUMIF($B31:$AE31,U34,$B32:$AE32)</f>
        <v>0</v>
      </c>
      <c r="V35" s="3">
        <f t="shared" ref="V35:AH35" si="4">SUMIF($B23:$AE23,V34,$B24:$AE24)+SUMIF($B25:$AE25,V34,$B26:$AE26)+SUMIF($B27:$AE27,V34,$B28:$AE28)+SUMIF($B29:$AE29,V34,$B30:$AE30)+SUMIF($B31:$AE31,V34,$B32:$AE32)</f>
        <v>0</v>
      </c>
      <c r="W35" s="3">
        <f t="shared" si="4"/>
        <v>0</v>
      </c>
      <c r="X35" s="3">
        <f t="shared" si="4"/>
        <v>0</v>
      </c>
      <c r="Y35" s="3">
        <f t="shared" si="4"/>
        <v>0</v>
      </c>
      <c r="Z35" s="3">
        <f t="shared" si="4"/>
        <v>0</v>
      </c>
      <c r="AA35" s="3">
        <f t="shared" si="4"/>
        <v>0</v>
      </c>
      <c r="AB35" s="3">
        <f t="shared" si="4"/>
        <v>0</v>
      </c>
      <c r="AC35" s="3">
        <f t="shared" si="4"/>
        <v>0</v>
      </c>
      <c r="AD35" s="3">
        <f t="shared" si="4"/>
        <v>0</v>
      </c>
      <c r="AE35" s="3">
        <f t="shared" si="4"/>
        <v>0</v>
      </c>
      <c r="AF35" s="3">
        <f t="shared" si="4"/>
        <v>0</v>
      </c>
      <c r="AG35" s="3">
        <f t="shared" si="4"/>
        <v>0</v>
      </c>
      <c r="AH35" s="3">
        <f t="shared" si="4"/>
        <v>0</v>
      </c>
    </row>
    <row r="36" spans="1:34" ht="15" customHeight="1">
      <c r="D36" s="29" t="s">
        <v>73</v>
      </c>
      <c r="E36" s="20">
        <v>7</v>
      </c>
      <c r="F36" s="17">
        <f>E36+1</f>
        <v>8</v>
      </c>
      <c r="G36" s="17">
        <f t="shared" ref="G36:T36" si="5">F36+1</f>
        <v>9</v>
      </c>
      <c r="H36" s="17">
        <f t="shared" si="5"/>
        <v>10</v>
      </c>
      <c r="I36" s="17">
        <f t="shared" si="5"/>
        <v>11</v>
      </c>
      <c r="J36" s="17">
        <f t="shared" si="5"/>
        <v>12</v>
      </c>
      <c r="K36" s="17">
        <f t="shared" si="5"/>
        <v>13</v>
      </c>
      <c r="L36" s="17">
        <f t="shared" si="5"/>
        <v>14</v>
      </c>
      <c r="M36" s="17">
        <f t="shared" si="5"/>
        <v>15</v>
      </c>
      <c r="N36" s="17">
        <f t="shared" si="5"/>
        <v>16</v>
      </c>
      <c r="O36" s="17">
        <f t="shared" si="5"/>
        <v>17</v>
      </c>
      <c r="P36" s="17">
        <f t="shared" si="5"/>
        <v>18</v>
      </c>
      <c r="Q36" s="17">
        <f t="shared" si="5"/>
        <v>19</v>
      </c>
      <c r="R36" s="17">
        <f t="shared" si="5"/>
        <v>20</v>
      </c>
      <c r="S36" s="17">
        <f t="shared" si="5"/>
        <v>21</v>
      </c>
      <c r="T36" s="17">
        <f t="shared" si="5"/>
        <v>22</v>
      </c>
    </row>
    <row r="37" spans="1:34" ht="15" customHeight="1">
      <c r="D37" s="4">
        <f>综合设置!G4</f>
        <v>30</v>
      </c>
      <c r="E37" s="28">
        <f ca="1">SUM(INDIRECT("r"&amp;E36&amp;"c2",0):INDIRECT("r"&amp;E36&amp;"c"&amp;$D37+1,0))</f>
        <v>0</v>
      </c>
      <c r="F37" s="28">
        <f ca="1">SUM(INDIRECT("r"&amp;F36&amp;"c2",0):INDIRECT("r"&amp;F36&amp;"c"&amp;$D37+1,0))</f>
        <v>0</v>
      </c>
      <c r="G37" s="28">
        <f ca="1">SUM(INDIRECT("r"&amp;G36&amp;"c2",0):INDIRECT("r"&amp;G36&amp;"c"&amp;$D37+1,0))</f>
        <v>0</v>
      </c>
      <c r="H37" s="28">
        <f ca="1">SUM(INDIRECT("r"&amp;H36&amp;"c2",0):INDIRECT("r"&amp;H36&amp;"c"&amp;$D37+1,0))</f>
        <v>0</v>
      </c>
    </row>
  </sheetData>
  <sheetProtection password="C036" sheet="1" objects="1" scenarios="1"/>
  <dataConsolidate/>
  <mergeCells count="3">
    <mergeCell ref="A34:B35"/>
    <mergeCell ref="E34:F34"/>
    <mergeCell ref="G34:H34"/>
  </mergeCells>
  <phoneticPr fontId="1" type="noConversion"/>
  <conditionalFormatting sqref="B3:AE5"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F35 H35:AH35">
    <cfRule type="cellIs" dxfId="3" priority="5" operator="greaterThan">
      <formula>0</formula>
    </cfRule>
  </conditionalFormatting>
  <conditionalFormatting sqref="E35">
    <cfRule type="expression" dxfId="2" priority="3">
      <formula>F35&gt;0</formula>
    </cfRule>
  </conditionalFormatting>
  <conditionalFormatting sqref="G35">
    <cfRule type="expression" dxfId="1" priority="2">
      <formula>H35&gt;0</formula>
    </cfRule>
  </conditionalFormatting>
  <conditionalFormatting sqref="B6:AE6">
    <cfRule type="expression" dxfId="0" priority="1">
      <formula>B6&gt;B3</formula>
    </cfRule>
  </conditionalFormatting>
  <dataValidations count="1">
    <dataValidation type="whole" operator="greaterThan" allowBlank="1" showInputMessage="1" showErrorMessage="1" errorTitle="格式错误" error="下注额必须是整数" sqref="B7:AE32">
      <formula1>0</formula1>
    </dataValidation>
  </dataValidations>
  <pageMargins left="0.7" right="0.7" top="0.75" bottom="0.75" header="0.3" footer="0.3"/>
  <pageSetup paperSize="9" orientation="portrait" r:id="rId1"/>
  <ignoredErrors>
    <ignoredError sqref="G35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E52"/>
  <sheetViews>
    <sheetView workbookViewId="0">
      <selection activeCell="AE4" sqref="AE4"/>
    </sheetView>
  </sheetViews>
  <sheetFormatPr defaultColWidth="6.625" defaultRowHeight="15" customHeight="1"/>
  <cols>
    <col min="1" max="1" width="7.625" style="1" customWidth="1"/>
    <col min="2" max="16384" width="6.625" style="1"/>
  </cols>
  <sheetData>
    <row r="1" spans="1:31" ht="15" customHeight="1">
      <c r="A1" s="17" t="s">
        <v>57</v>
      </c>
      <c r="B1" s="17">
        <f>SUM(B3:B52)</f>
        <v>0</v>
      </c>
      <c r="C1" s="17">
        <f t="shared" ref="C1:K1" si="0">SUM(C3:C52)</f>
        <v>0</v>
      </c>
      <c r="D1" s="17">
        <f t="shared" si="0"/>
        <v>0</v>
      </c>
      <c r="E1" s="17">
        <f t="shared" si="0"/>
        <v>0</v>
      </c>
      <c r="F1" s="17">
        <f t="shared" si="0"/>
        <v>0</v>
      </c>
      <c r="G1" s="17">
        <f t="shared" si="0"/>
        <v>0</v>
      </c>
      <c r="H1" s="17">
        <f t="shared" si="0"/>
        <v>0</v>
      </c>
      <c r="I1" s="17">
        <f t="shared" si="0"/>
        <v>0</v>
      </c>
      <c r="J1" s="17">
        <f t="shared" si="0"/>
        <v>0</v>
      </c>
      <c r="K1" s="17">
        <f t="shared" si="0"/>
        <v>0</v>
      </c>
      <c r="L1" s="17">
        <f t="shared" ref="L1:AE1" si="1">SUM(L3:L52)</f>
        <v>0</v>
      </c>
      <c r="M1" s="17">
        <f t="shared" si="1"/>
        <v>0</v>
      </c>
      <c r="N1" s="17">
        <f t="shared" si="1"/>
        <v>0</v>
      </c>
      <c r="O1" s="17">
        <f t="shared" si="1"/>
        <v>0</v>
      </c>
      <c r="P1" s="17">
        <f t="shared" si="1"/>
        <v>0</v>
      </c>
      <c r="Q1" s="17">
        <f t="shared" si="1"/>
        <v>0</v>
      </c>
      <c r="R1" s="17">
        <f t="shared" si="1"/>
        <v>0</v>
      </c>
      <c r="S1" s="17">
        <f t="shared" si="1"/>
        <v>0</v>
      </c>
      <c r="T1" s="17">
        <f t="shared" si="1"/>
        <v>0</v>
      </c>
      <c r="U1" s="17">
        <f t="shared" si="1"/>
        <v>0</v>
      </c>
      <c r="V1" s="17">
        <f t="shared" si="1"/>
        <v>0</v>
      </c>
      <c r="W1" s="17">
        <f t="shared" si="1"/>
        <v>0</v>
      </c>
      <c r="X1" s="17">
        <f t="shared" si="1"/>
        <v>0</v>
      </c>
      <c r="Y1" s="17">
        <f t="shared" si="1"/>
        <v>0</v>
      </c>
      <c r="Z1" s="17">
        <f t="shared" si="1"/>
        <v>0</v>
      </c>
      <c r="AA1" s="17">
        <f t="shared" si="1"/>
        <v>0</v>
      </c>
      <c r="AB1" s="17">
        <f t="shared" si="1"/>
        <v>0</v>
      </c>
      <c r="AC1" s="17">
        <f t="shared" si="1"/>
        <v>0</v>
      </c>
      <c r="AD1" s="17">
        <f t="shared" si="1"/>
        <v>0</v>
      </c>
      <c r="AE1" s="17">
        <f t="shared" si="1"/>
        <v>0</v>
      </c>
    </row>
    <row r="2" spans="1:31" ht="15" customHeight="1">
      <c r="A2" s="23">
        <f>SUM(B1:AE1)</f>
        <v>0</v>
      </c>
      <c r="B2" s="17" t="str">
        <f>TRIM(下注输入!B2)</f>
        <v>玩家1</v>
      </c>
      <c r="C2" s="17" t="str">
        <f>TRIM(下注输入!C2)</f>
        <v>玩家2</v>
      </c>
      <c r="D2" s="17" t="str">
        <f>TRIM(下注输入!D2)</f>
        <v>玩家3</v>
      </c>
      <c r="E2" s="17" t="str">
        <f>TRIM(下注输入!E2)</f>
        <v>玩家4</v>
      </c>
      <c r="F2" s="17" t="str">
        <f>TRIM(下注输入!F2)</f>
        <v>玩家5</v>
      </c>
      <c r="G2" s="17" t="str">
        <f>TRIM(下注输入!G2)</f>
        <v>玩家6</v>
      </c>
      <c r="H2" s="17" t="str">
        <f>TRIM(下注输入!H2)</f>
        <v>玩家7</v>
      </c>
      <c r="I2" s="17" t="str">
        <f>TRIM(下注输入!I2)</f>
        <v>玩家8</v>
      </c>
      <c r="J2" s="17" t="str">
        <f>TRIM(下注输入!J2)</f>
        <v>玩家9</v>
      </c>
      <c r="K2" s="17" t="str">
        <f>TRIM(下注输入!K2)</f>
        <v>玩家10</v>
      </c>
      <c r="L2" s="17" t="str">
        <f>TRIM(下注输入!L2)</f>
        <v>玩家11</v>
      </c>
      <c r="M2" s="17" t="str">
        <f>TRIM(下注输入!M2)</f>
        <v>玩家12</v>
      </c>
      <c r="N2" s="17" t="str">
        <f>TRIM(下注输入!N2)</f>
        <v>玩家13</v>
      </c>
      <c r="O2" s="17" t="str">
        <f>TRIM(下注输入!O2)</f>
        <v>玩家14</v>
      </c>
      <c r="P2" s="17" t="str">
        <f>TRIM(下注输入!P2)</f>
        <v>玩家15</v>
      </c>
      <c r="Q2" s="17" t="str">
        <f>TRIM(下注输入!Q2)</f>
        <v>玩家16</v>
      </c>
      <c r="R2" s="17" t="str">
        <f>TRIM(下注输入!R2)</f>
        <v>玩家17</v>
      </c>
      <c r="S2" s="17" t="str">
        <f>TRIM(下注输入!S2)</f>
        <v>玩家18</v>
      </c>
      <c r="T2" s="17" t="str">
        <f>TRIM(下注输入!T2)</f>
        <v>玩家19</v>
      </c>
      <c r="U2" s="17" t="str">
        <f>TRIM(下注输入!U2)</f>
        <v>玩家20</v>
      </c>
      <c r="V2" s="17" t="str">
        <f>TRIM(下注输入!V2)</f>
        <v>玩家21</v>
      </c>
      <c r="W2" s="17" t="str">
        <f>TRIM(下注输入!W2)</f>
        <v>玩家22</v>
      </c>
      <c r="X2" s="17" t="str">
        <f>TRIM(下注输入!X2)</f>
        <v>玩家23</v>
      </c>
      <c r="Y2" s="17" t="str">
        <f>TRIM(下注输入!Y2)</f>
        <v>玩家24</v>
      </c>
      <c r="Z2" s="17" t="str">
        <f>TRIM(下注输入!Z2)</f>
        <v>玩家25</v>
      </c>
      <c r="AA2" s="17" t="str">
        <f>TRIM(下注输入!AA2)</f>
        <v>玩家26</v>
      </c>
      <c r="AB2" s="17" t="str">
        <f>TRIM(下注输入!AB2)</f>
        <v>玩家27</v>
      </c>
      <c r="AC2" s="17" t="str">
        <f>TRIM(下注输入!AC2)</f>
        <v>玩家28</v>
      </c>
      <c r="AD2" s="17" t="str">
        <f>TRIM(下注输入!AD2)</f>
        <v>玩家29</v>
      </c>
      <c r="AE2" s="17" t="str">
        <f>TRIM(下注输入!AE2)</f>
        <v>玩家30</v>
      </c>
    </row>
    <row r="3" spans="1:31" ht="15" customHeight="1">
      <c r="A3" s="4">
        <v>1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</row>
    <row r="4" spans="1:31" ht="15" customHeight="1">
      <c r="A4" s="4">
        <v>2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</row>
    <row r="5" spans="1:31" ht="15" customHeight="1">
      <c r="A5" s="4">
        <v>3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</row>
    <row r="6" spans="1:31" ht="15" customHeight="1">
      <c r="A6" s="4">
        <v>4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</row>
    <row r="7" spans="1:31" ht="15" customHeight="1">
      <c r="A7" s="4">
        <v>5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</row>
    <row r="8" spans="1:31" ht="15" customHeight="1">
      <c r="A8" s="4">
        <v>6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</row>
    <row r="9" spans="1:31" ht="15" customHeight="1">
      <c r="A9" s="4">
        <v>7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1:31" ht="15" customHeight="1">
      <c r="A10" s="4">
        <v>8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</row>
    <row r="11" spans="1:31" ht="15" customHeight="1">
      <c r="A11" s="4">
        <v>9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</row>
    <row r="12" spans="1:31" ht="15" customHeight="1">
      <c r="A12" s="4">
        <v>10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</row>
    <row r="13" spans="1:31" ht="15" customHeight="1">
      <c r="A13" s="4">
        <v>11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</row>
    <row r="14" spans="1:31" ht="15" customHeight="1">
      <c r="A14" s="4">
        <v>12</v>
      </c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</row>
    <row r="15" spans="1:31" ht="15" customHeight="1">
      <c r="A15" s="4">
        <v>13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</row>
    <row r="16" spans="1:31" ht="15" customHeight="1">
      <c r="A16" s="4">
        <v>14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</row>
    <row r="17" spans="1:31" ht="15" customHeight="1">
      <c r="A17" s="4">
        <v>15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</row>
    <row r="18" spans="1:31" ht="15" customHeight="1">
      <c r="A18" s="4">
        <v>16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</row>
    <row r="19" spans="1:31" ht="15" customHeight="1">
      <c r="A19" s="4">
        <v>17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</row>
    <row r="20" spans="1:31" ht="15" customHeight="1">
      <c r="A20" s="4">
        <v>18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</row>
    <row r="21" spans="1:31" ht="15" customHeight="1">
      <c r="A21" s="4">
        <v>19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</row>
    <row r="22" spans="1:31" ht="15" customHeight="1">
      <c r="A22" s="4">
        <v>20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</row>
    <row r="23" spans="1:31" ht="15" customHeight="1">
      <c r="A23" s="4">
        <v>21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</row>
    <row r="24" spans="1:31" ht="15" customHeight="1">
      <c r="A24" s="4">
        <v>22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</row>
    <row r="25" spans="1:31" ht="15" customHeight="1">
      <c r="A25" s="4">
        <v>23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</row>
    <row r="26" spans="1:31" ht="15" customHeight="1">
      <c r="A26" s="4">
        <v>24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</row>
    <row r="27" spans="1:31" ht="15" customHeight="1">
      <c r="A27" s="4">
        <v>25</v>
      </c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</row>
    <row r="28" spans="1:31" ht="15" customHeight="1">
      <c r="A28" s="4">
        <v>26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</row>
    <row r="29" spans="1:31" ht="15" customHeight="1">
      <c r="A29" s="4">
        <v>27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</row>
    <row r="30" spans="1:31" ht="15" customHeight="1">
      <c r="A30" s="4">
        <v>28</v>
      </c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</row>
    <row r="31" spans="1:31" ht="15" customHeight="1">
      <c r="A31" s="4">
        <v>29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</row>
    <row r="32" spans="1:31" ht="15" customHeight="1">
      <c r="A32" s="4">
        <v>30</v>
      </c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</row>
    <row r="33" spans="1:31" ht="15" customHeight="1">
      <c r="A33" s="4">
        <v>31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</row>
    <row r="34" spans="1:31" ht="15" customHeight="1">
      <c r="A34" s="4">
        <v>32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</row>
    <row r="35" spans="1:31" ht="15" customHeight="1">
      <c r="A35" s="4">
        <v>33</v>
      </c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</row>
    <row r="36" spans="1:31" ht="15" customHeight="1">
      <c r="A36" s="4">
        <v>34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</row>
    <row r="37" spans="1:31" ht="15" customHeight="1">
      <c r="A37" s="4">
        <v>35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</row>
    <row r="38" spans="1:31" ht="15" customHeight="1">
      <c r="A38" s="4">
        <v>36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</row>
    <row r="39" spans="1:31" ht="15" customHeight="1">
      <c r="A39" s="4">
        <v>37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</row>
    <row r="40" spans="1:31" ht="15" customHeight="1">
      <c r="A40" s="4">
        <v>38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</row>
    <row r="41" spans="1:31" ht="15" customHeight="1">
      <c r="A41" s="4">
        <v>39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</row>
    <row r="42" spans="1:31" ht="15" customHeight="1">
      <c r="A42" s="4">
        <v>40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</row>
    <row r="43" spans="1:31" ht="15" customHeight="1">
      <c r="A43" s="4">
        <v>41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</row>
    <row r="44" spans="1:31" ht="15" customHeight="1">
      <c r="A44" s="4">
        <v>42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</row>
    <row r="45" spans="1:31" ht="15" customHeight="1">
      <c r="A45" s="4">
        <v>43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</row>
    <row r="46" spans="1:31" ht="15" customHeight="1">
      <c r="A46" s="4">
        <v>44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</row>
    <row r="47" spans="1:31" ht="15" customHeight="1">
      <c r="A47" s="4">
        <v>45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</row>
    <row r="48" spans="1:31" ht="15" customHeight="1">
      <c r="A48" s="4">
        <v>46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</row>
    <row r="49" spans="1:31" ht="15" customHeight="1">
      <c r="A49" s="4">
        <v>47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</row>
    <row r="50" spans="1:31" ht="15" customHeight="1">
      <c r="A50" s="4">
        <v>48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</row>
    <row r="51" spans="1:31" ht="15" customHeight="1">
      <c r="A51" s="4">
        <v>49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</row>
    <row r="52" spans="1:31" ht="15" customHeight="1">
      <c r="A52" s="4">
        <v>50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</row>
  </sheetData>
  <sheetProtection password="C036" sheet="1" objects="1" scenario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FF"/>
  </sheetPr>
  <dimension ref="A1:AH85"/>
  <sheetViews>
    <sheetView workbookViewId="0">
      <selection sqref="A1:A3"/>
    </sheetView>
  </sheetViews>
  <sheetFormatPr defaultColWidth="6.625" defaultRowHeight="15" customHeight="1"/>
  <cols>
    <col min="1" max="1" width="2.625" style="1" customWidth="1"/>
    <col min="2" max="2" width="4.625" style="1" customWidth="1"/>
    <col min="3" max="16384" width="6.625" style="1"/>
  </cols>
  <sheetData>
    <row r="1" spans="1:34" ht="15" customHeight="1">
      <c r="A1" s="43" t="s">
        <v>63</v>
      </c>
      <c r="B1" s="46">
        <f>-ROUND(SUM(E1:AH1),0)</f>
        <v>0</v>
      </c>
      <c r="C1" s="47"/>
      <c r="D1" s="41" t="s">
        <v>64</v>
      </c>
      <c r="E1" s="41">
        <f>SUM(E4:E85)</f>
        <v>0</v>
      </c>
      <c r="F1" s="41">
        <f t="shared" ref="F1:N1" si="0">SUM(F4:F85)</f>
        <v>0</v>
      </c>
      <c r="G1" s="41">
        <f t="shared" si="0"/>
        <v>0</v>
      </c>
      <c r="H1" s="41">
        <f t="shared" si="0"/>
        <v>0</v>
      </c>
      <c r="I1" s="41">
        <f t="shared" si="0"/>
        <v>0</v>
      </c>
      <c r="J1" s="41">
        <f t="shared" si="0"/>
        <v>0</v>
      </c>
      <c r="K1" s="41">
        <f t="shared" si="0"/>
        <v>0</v>
      </c>
      <c r="L1" s="41">
        <f t="shared" si="0"/>
        <v>0</v>
      </c>
      <c r="M1" s="41">
        <f t="shared" si="0"/>
        <v>0</v>
      </c>
      <c r="N1" s="41">
        <f t="shared" si="0"/>
        <v>0</v>
      </c>
      <c r="O1" s="41">
        <f t="shared" ref="O1:AF1" si="1">SUM(O4:O85)</f>
        <v>0</v>
      </c>
      <c r="P1" s="41">
        <f t="shared" si="1"/>
        <v>0</v>
      </c>
      <c r="Q1" s="41">
        <f t="shared" si="1"/>
        <v>0</v>
      </c>
      <c r="R1" s="41">
        <f t="shared" si="1"/>
        <v>0</v>
      </c>
      <c r="S1" s="41">
        <f t="shared" si="1"/>
        <v>0</v>
      </c>
      <c r="T1" s="41">
        <f t="shared" si="1"/>
        <v>0</v>
      </c>
      <c r="U1" s="41">
        <f t="shared" si="1"/>
        <v>0</v>
      </c>
      <c r="V1" s="41">
        <f t="shared" si="1"/>
        <v>0</v>
      </c>
      <c r="W1" s="41">
        <f t="shared" si="1"/>
        <v>0</v>
      </c>
      <c r="X1" s="41">
        <f t="shared" si="1"/>
        <v>0</v>
      </c>
      <c r="Y1" s="41">
        <f t="shared" si="1"/>
        <v>0</v>
      </c>
      <c r="Z1" s="41">
        <f t="shared" si="1"/>
        <v>0</v>
      </c>
      <c r="AA1" s="41">
        <f t="shared" si="1"/>
        <v>0</v>
      </c>
      <c r="AB1" s="41">
        <f t="shared" si="1"/>
        <v>0</v>
      </c>
      <c r="AC1" s="41">
        <f t="shared" si="1"/>
        <v>0</v>
      </c>
      <c r="AD1" s="41">
        <f t="shared" si="1"/>
        <v>0</v>
      </c>
      <c r="AE1" s="41">
        <f t="shared" si="1"/>
        <v>0</v>
      </c>
      <c r="AF1" s="41">
        <f t="shared" si="1"/>
        <v>0</v>
      </c>
      <c r="AG1" s="41">
        <f t="shared" ref="AG1:AH1" si="2">SUM(AG4:AG85)</f>
        <v>0</v>
      </c>
      <c r="AH1" s="41">
        <f t="shared" si="2"/>
        <v>0</v>
      </c>
    </row>
    <row r="2" spans="1:34" ht="15" customHeight="1">
      <c r="A2" s="44"/>
      <c r="B2" s="48"/>
      <c r="C2" s="49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</row>
    <row r="3" spans="1:34" ht="15" customHeight="1">
      <c r="A3" s="45"/>
      <c r="B3" s="20" t="s">
        <v>60</v>
      </c>
      <c r="C3" s="20" t="s">
        <v>58</v>
      </c>
      <c r="D3" s="20" t="s">
        <v>59</v>
      </c>
      <c r="E3" s="20" t="str">
        <f>TRIM(下注输入!B2)</f>
        <v>玩家1</v>
      </c>
      <c r="F3" s="20" t="str">
        <f>TRIM(下注输入!C2)</f>
        <v>玩家2</v>
      </c>
      <c r="G3" s="20" t="str">
        <f>TRIM(下注输入!D2)</f>
        <v>玩家3</v>
      </c>
      <c r="H3" s="20" t="str">
        <f>TRIM(下注输入!E2)</f>
        <v>玩家4</v>
      </c>
      <c r="I3" s="20" t="str">
        <f>TRIM(下注输入!F2)</f>
        <v>玩家5</v>
      </c>
      <c r="J3" s="20" t="str">
        <f>TRIM(下注输入!G2)</f>
        <v>玩家6</v>
      </c>
      <c r="K3" s="20" t="str">
        <f>TRIM(下注输入!H2)</f>
        <v>玩家7</v>
      </c>
      <c r="L3" s="20" t="str">
        <f>TRIM(下注输入!I2)</f>
        <v>玩家8</v>
      </c>
      <c r="M3" s="20" t="str">
        <f>TRIM(下注输入!J2)</f>
        <v>玩家9</v>
      </c>
      <c r="N3" s="20" t="str">
        <f>TRIM(下注输入!K2)</f>
        <v>玩家10</v>
      </c>
      <c r="O3" s="20" t="str">
        <f>TRIM(下注输入!L2)</f>
        <v>玩家11</v>
      </c>
      <c r="P3" s="20" t="str">
        <f>TRIM(下注输入!M2)</f>
        <v>玩家12</v>
      </c>
      <c r="Q3" s="20" t="str">
        <f>TRIM(下注输入!N2)</f>
        <v>玩家13</v>
      </c>
      <c r="R3" s="20" t="str">
        <f>TRIM(下注输入!O2)</f>
        <v>玩家14</v>
      </c>
      <c r="S3" s="20" t="str">
        <f>TRIM(下注输入!P2)</f>
        <v>玩家15</v>
      </c>
      <c r="T3" s="20" t="str">
        <f>TRIM(下注输入!Q2)</f>
        <v>玩家16</v>
      </c>
      <c r="U3" s="20" t="str">
        <f>TRIM(下注输入!R2)</f>
        <v>玩家17</v>
      </c>
      <c r="V3" s="20" t="str">
        <f>TRIM(下注输入!S2)</f>
        <v>玩家18</v>
      </c>
      <c r="W3" s="20" t="str">
        <f>TRIM(下注输入!T2)</f>
        <v>玩家19</v>
      </c>
      <c r="X3" s="20" t="str">
        <f>TRIM(下注输入!U2)</f>
        <v>玩家20</v>
      </c>
      <c r="Y3" s="20" t="str">
        <f>TRIM(下注输入!V2)</f>
        <v>玩家21</v>
      </c>
      <c r="Z3" s="20" t="str">
        <f>TRIM(下注输入!W2)</f>
        <v>玩家22</v>
      </c>
      <c r="AA3" s="20" t="str">
        <f>TRIM(下注输入!X2)</f>
        <v>玩家23</v>
      </c>
      <c r="AB3" s="20" t="str">
        <f>TRIM(下注输入!Y2)</f>
        <v>玩家24</v>
      </c>
      <c r="AC3" s="20" t="str">
        <f>TRIM(下注输入!Z2)</f>
        <v>玩家25</v>
      </c>
      <c r="AD3" s="20" t="str">
        <f>TRIM(下注输入!AA2)</f>
        <v>玩家26</v>
      </c>
      <c r="AE3" s="20" t="str">
        <f>TRIM(下注输入!AB2)</f>
        <v>玩家27</v>
      </c>
      <c r="AF3" s="20" t="str">
        <f>TRIM(下注输入!AC2)</f>
        <v>玩家28</v>
      </c>
      <c r="AG3" s="20" t="str">
        <f>TRIM(下注输入!AD2)</f>
        <v>玩家29</v>
      </c>
      <c r="AH3" s="20" t="str">
        <f>TRIM(下注输入!AE2)</f>
        <v>玩家30</v>
      </c>
    </row>
    <row r="4" spans="1:34" ht="15" customHeight="1">
      <c r="A4" s="19" t="s">
        <v>62</v>
      </c>
      <c r="B4" s="4">
        <v>1</v>
      </c>
      <c r="C4" s="21" t="s">
        <v>68</v>
      </c>
      <c r="D4" s="21" t="s">
        <v>68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</row>
    <row r="5" spans="1:34" ht="15" customHeight="1">
      <c r="A5" s="19" t="s">
        <v>62</v>
      </c>
      <c r="B5" s="4">
        <v>2</v>
      </c>
      <c r="C5" s="21" t="s">
        <v>68</v>
      </c>
      <c r="D5" s="21" t="s">
        <v>68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</row>
    <row r="6" spans="1:34" ht="15" customHeight="1">
      <c r="A6" s="19" t="s">
        <v>62</v>
      </c>
      <c r="B6" s="4">
        <v>3</v>
      </c>
      <c r="C6" s="21" t="s">
        <v>68</v>
      </c>
      <c r="D6" s="21" t="s">
        <v>68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</row>
    <row r="7" spans="1:34" ht="15" customHeight="1">
      <c r="A7" s="19" t="s">
        <v>62</v>
      </c>
      <c r="B7" s="4">
        <v>4</v>
      </c>
      <c r="C7" s="21" t="s">
        <v>68</v>
      </c>
      <c r="D7" s="21" t="s">
        <v>68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</row>
    <row r="8" spans="1:34" ht="15" customHeight="1">
      <c r="A8" s="19" t="s">
        <v>62</v>
      </c>
      <c r="B8" s="4">
        <v>5</v>
      </c>
      <c r="C8" s="21" t="s">
        <v>68</v>
      </c>
      <c r="D8" s="21" t="s">
        <v>68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</row>
    <row r="9" spans="1:34" ht="15" customHeight="1">
      <c r="A9" s="19" t="s">
        <v>62</v>
      </c>
      <c r="B9" s="4">
        <v>6</v>
      </c>
      <c r="C9" s="21" t="s">
        <v>68</v>
      </c>
      <c r="D9" s="21" t="s">
        <v>68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</row>
    <row r="10" spans="1:34" ht="15" customHeight="1">
      <c r="A10" s="19" t="s">
        <v>62</v>
      </c>
      <c r="B10" s="4">
        <v>7</v>
      </c>
      <c r="C10" s="21" t="s">
        <v>68</v>
      </c>
      <c r="D10" s="21" t="s">
        <v>68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</row>
    <row r="11" spans="1:34" ht="15" customHeight="1">
      <c r="A11" s="19" t="s">
        <v>62</v>
      </c>
      <c r="B11" s="4">
        <v>8</v>
      </c>
      <c r="C11" s="21" t="s">
        <v>68</v>
      </c>
      <c r="D11" s="21" t="s">
        <v>68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</row>
    <row r="12" spans="1:34" ht="15" customHeight="1">
      <c r="A12" s="19" t="s">
        <v>62</v>
      </c>
      <c r="B12" s="4">
        <v>9</v>
      </c>
      <c r="C12" s="21" t="s">
        <v>68</v>
      </c>
      <c r="D12" s="21" t="s">
        <v>68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</row>
    <row r="13" spans="1:34" ht="15" customHeight="1">
      <c r="A13" s="19" t="s">
        <v>62</v>
      </c>
      <c r="B13" s="4">
        <v>10</v>
      </c>
      <c r="C13" s="21" t="s">
        <v>68</v>
      </c>
      <c r="D13" s="21" t="s">
        <v>68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</row>
    <row r="14" spans="1:34" ht="15" customHeight="1">
      <c r="A14" s="19" t="s">
        <v>62</v>
      </c>
      <c r="B14" s="4">
        <v>11</v>
      </c>
      <c r="C14" s="21" t="s">
        <v>68</v>
      </c>
      <c r="D14" s="21" t="s">
        <v>68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</row>
    <row r="15" spans="1:34" ht="15" customHeight="1">
      <c r="A15" s="19" t="s">
        <v>62</v>
      </c>
      <c r="B15" s="4">
        <v>12</v>
      </c>
      <c r="C15" s="21" t="s">
        <v>68</v>
      </c>
      <c r="D15" s="21" t="s">
        <v>68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</row>
    <row r="16" spans="1:34" ht="15" customHeight="1">
      <c r="A16" s="19" t="s">
        <v>62</v>
      </c>
      <c r="B16" s="4">
        <v>13</v>
      </c>
      <c r="C16" s="21" t="s">
        <v>68</v>
      </c>
      <c r="D16" s="21" t="s">
        <v>68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</row>
    <row r="17" spans="1:34" ht="15" customHeight="1">
      <c r="A17" s="19" t="s">
        <v>62</v>
      </c>
      <c r="B17" s="4">
        <v>14</v>
      </c>
      <c r="C17" s="21" t="s">
        <v>68</v>
      </c>
      <c r="D17" s="21" t="s">
        <v>68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</row>
    <row r="18" spans="1:34" ht="15" customHeight="1">
      <c r="A18" s="19" t="s">
        <v>62</v>
      </c>
      <c r="B18" s="4">
        <v>15</v>
      </c>
      <c r="C18" s="21" t="s">
        <v>68</v>
      </c>
      <c r="D18" s="21" t="s">
        <v>68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</row>
    <row r="19" spans="1:34" ht="15" customHeight="1">
      <c r="A19" s="19" t="s">
        <v>62</v>
      </c>
      <c r="B19" s="4">
        <v>16</v>
      </c>
      <c r="C19" s="21" t="s">
        <v>68</v>
      </c>
      <c r="D19" s="21" t="s">
        <v>68</v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</row>
    <row r="20" spans="1:34" ht="15" customHeight="1">
      <c r="A20" s="19" t="s">
        <v>62</v>
      </c>
      <c r="B20" s="4">
        <v>17</v>
      </c>
      <c r="C20" s="21" t="s">
        <v>68</v>
      </c>
      <c r="D20" s="21" t="s">
        <v>68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</row>
    <row r="21" spans="1:34" ht="15" customHeight="1">
      <c r="A21" s="19" t="s">
        <v>62</v>
      </c>
      <c r="B21" s="4">
        <v>18</v>
      </c>
      <c r="C21" s="21" t="s">
        <v>68</v>
      </c>
      <c r="D21" s="21" t="s">
        <v>68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</row>
    <row r="22" spans="1:34" ht="15" customHeight="1">
      <c r="A22" s="19" t="s">
        <v>62</v>
      </c>
      <c r="B22" s="4">
        <v>19</v>
      </c>
      <c r="C22" s="21" t="s">
        <v>68</v>
      </c>
      <c r="D22" s="21" t="s">
        <v>68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15" customHeight="1">
      <c r="A23" s="19" t="s">
        <v>62</v>
      </c>
      <c r="B23" s="4">
        <v>20</v>
      </c>
      <c r="C23" s="21" t="s">
        <v>68</v>
      </c>
      <c r="D23" s="21" t="s">
        <v>68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</row>
    <row r="24" spans="1:34" ht="15" customHeight="1">
      <c r="A24" s="19" t="s">
        <v>62</v>
      </c>
      <c r="B24" s="4">
        <v>21</v>
      </c>
      <c r="C24" s="21" t="s">
        <v>68</v>
      </c>
      <c r="D24" s="21" t="s">
        <v>68</v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</row>
    <row r="25" spans="1:34" ht="15" customHeight="1">
      <c r="A25" s="19" t="s">
        <v>62</v>
      </c>
      <c r="B25" s="4">
        <v>22</v>
      </c>
      <c r="C25" s="21" t="s">
        <v>68</v>
      </c>
      <c r="D25" s="21" t="s">
        <v>68</v>
      </c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</row>
    <row r="26" spans="1:34" ht="15" customHeight="1">
      <c r="A26" s="19" t="s">
        <v>62</v>
      </c>
      <c r="B26" s="4">
        <v>23</v>
      </c>
      <c r="C26" s="21" t="s">
        <v>68</v>
      </c>
      <c r="D26" s="21" t="s">
        <v>68</v>
      </c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</row>
    <row r="27" spans="1:34" ht="15" customHeight="1">
      <c r="A27" s="19" t="s">
        <v>62</v>
      </c>
      <c r="B27" s="4">
        <v>24</v>
      </c>
      <c r="C27" s="21" t="s">
        <v>68</v>
      </c>
      <c r="D27" s="21" t="s">
        <v>68</v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</row>
    <row r="28" spans="1:34" ht="15" customHeight="1">
      <c r="A28" s="19" t="s">
        <v>62</v>
      </c>
      <c r="B28" s="4">
        <v>25</v>
      </c>
      <c r="C28" s="21" t="s">
        <v>68</v>
      </c>
      <c r="D28" s="21" t="s">
        <v>68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</row>
    <row r="29" spans="1:34" ht="15" customHeight="1">
      <c r="A29" s="19" t="s">
        <v>62</v>
      </c>
      <c r="B29" s="4">
        <v>26</v>
      </c>
      <c r="C29" s="21" t="s">
        <v>68</v>
      </c>
      <c r="D29" s="21" t="s">
        <v>68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</row>
    <row r="30" spans="1:34" ht="15" customHeight="1">
      <c r="A30" s="19" t="s">
        <v>62</v>
      </c>
      <c r="B30" s="4">
        <v>27</v>
      </c>
      <c r="C30" s="21" t="s">
        <v>68</v>
      </c>
      <c r="D30" s="21" t="s">
        <v>68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</row>
    <row r="31" spans="1:34" ht="15" customHeight="1">
      <c r="A31" s="19" t="s">
        <v>62</v>
      </c>
      <c r="B31" s="4">
        <v>28</v>
      </c>
      <c r="C31" s="21" t="s">
        <v>68</v>
      </c>
      <c r="D31" s="21" t="s">
        <v>68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</row>
    <row r="32" spans="1:34" ht="15" customHeight="1">
      <c r="A32" s="19" t="s">
        <v>62</v>
      </c>
      <c r="B32" s="4">
        <v>29</v>
      </c>
      <c r="C32" s="21" t="s">
        <v>68</v>
      </c>
      <c r="D32" s="21" t="s">
        <v>68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</row>
    <row r="33" spans="1:34" ht="15" customHeight="1">
      <c r="A33" s="19" t="s">
        <v>62</v>
      </c>
      <c r="B33" s="4">
        <v>30</v>
      </c>
      <c r="C33" s="21" t="s">
        <v>68</v>
      </c>
      <c r="D33" s="21" t="s">
        <v>68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</row>
    <row r="34" spans="1:34" ht="15" customHeight="1">
      <c r="A34" s="19" t="s">
        <v>62</v>
      </c>
      <c r="B34" s="4">
        <v>31</v>
      </c>
      <c r="C34" s="21" t="s">
        <v>68</v>
      </c>
      <c r="D34" s="21" t="s">
        <v>68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</row>
    <row r="35" spans="1:34" ht="15" customHeight="1">
      <c r="A35" s="19" t="s">
        <v>62</v>
      </c>
      <c r="B35" s="4">
        <v>32</v>
      </c>
      <c r="C35" s="21" t="s">
        <v>68</v>
      </c>
      <c r="D35" s="21" t="s">
        <v>68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</row>
    <row r="36" spans="1:34" ht="15" customHeight="1">
      <c r="A36" s="19" t="s">
        <v>62</v>
      </c>
      <c r="B36" s="4">
        <v>33</v>
      </c>
      <c r="C36" s="21" t="s">
        <v>68</v>
      </c>
      <c r="D36" s="21" t="s">
        <v>68</v>
      </c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</row>
    <row r="37" spans="1:34" ht="15" customHeight="1">
      <c r="A37" s="19" t="s">
        <v>62</v>
      </c>
      <c r="B37" s="4">
        <v>34</v>
      </c>
      <c r="C37" s="21" t="s">
        <v>68</v>
      </c>
      <c r="D37" s="21" t="s">
        <v>68</v>
      </c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</row>
    <row r="38" spans="1:34" ht="15" customHeight="1">
      <c r="A38" s="19" t="s">
        <v>62</v>
      </c>
      <c r="B38" s="4">
        <v>35</v>
      </c>
      <c r="C38" s="21" t="s">
        <v>68</v>
      </c>
      <c r="D38" s="21" t="s">
        <v>68</v>
      </c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</row>
    <row r="39" spans="1:34" ht="15" customHeight="1">
      <c r="A39" s="19" t="s">
        <v>62</v>
      </c>
      <c r="B39" s="4">
        <v>36</v>
      </c>
      <c r="C39" s="21" t="s">
        <v>68</v>
      </c>
      <c r="D39" s="21" t="s">
        <v>68</v>
      </c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</row>
    <row r="40" spans="1:34" ht="15" customHeight="1">
      <c r="A40" s="19" t="s">
        <v>62</v>
      </c>
      <c r="B40" s="4">
        <v>37</v>
      </c>
      <c r="C40" s="21" t="s">
        <v>68</v>
      </c>
      <c r="D40" s="21" t="s">
        <v>68</v>
      </c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</row>
    <row r="41" spans="1:34" ht="15" customHeight="1">
      <c r="A41" s="19" t="s">
        <v>62</v>
      </c>
      <c r="B41" s="4">
        <v>38</v>
      </c>
      <c r="C41" s="21" t="s">
        <v>68</v>
      </c>
      <c r="D41" s="21" t="s">
        <v>68</v>
      </c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</row>
    <row r="42" spans="1:34" ht="15" customHeight="1">
      <c r="A42" s="19" t="s">
        <v>62</v>
      </c>
      <c r="B42" s="4">
        <v>39</v>
      </c>
      <c r="C42" s="21" t="s">
        <v>68</v>
      </c>
      <c r="D42" s="21" t="s">
        <v>68</v>
      </c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</row>
    <row r="43" spans="1:34" ht="15" customHeight="1">
      <c r="A43" s="19" t="s">
        <v>62</v>
      </c>
      <c r="B43" s="4">
        <v>40</v>
      </c>
      <c r="C43" s="21" t="s">
        <v>68</v>
      </c>
      <c r="D43" s="21" t="s">
        <v>68</v>
      </c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</row>
    <row r="44" spans="1:34" ht="15" customHeight="1">
      <c r="A44" s="19" t="s">
        <v>62</v>
      </c>
      <c r="B44" s="4">
        <v>41</v>
      </c>
      <c r="C44" s="21" t="s">
        <v>68</v>
      </c>
      <c r="D44" s="21" t="s">
        <v>68</v>
      </c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</row>
    <row r="45" spans="1:34" ht="15" customHeight="1">
      <c r="A45" s="19" t="s">
        <v>62</v>
      </c>
      <c r="B45" s="4">
        <v>42</v>
      </c>
      <c r="C45" s="21" t="s">
        <v>68</v>
      </c>
      <c r="D45" s="21" t="s">
        <v>68</v>
      </c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</row>
    <row r="46" spans="1:34" ht="15" customHeight="1">
      <c r="A46" s="19" t="s">
        <v>62</v>
      </c>
      <c r="B46" s="4">
        <v>43</v>
      </c>
      <c r="C46" s="21" t="s">
        <v>68</v>
      </c>
      <c r="D46" s="21" t="s">
        <v>68</v>
      </c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</row>
    <row r="47" spans="1:34" ht="15" customHeight="1">
      <c r="A47" s="19" t="s">
        <v>62</v>
      </c>
      <c r="B47" s="4">
        <v>44</v>
      </c>
      <c r="C47" s="21" t="s">
        <v>68</v>
      </c>
      <c r="D47" s="21" t="s">
        <v>68</v>
      </c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</row>
    <row r="48" spans="1:34" ht="15" customHeight="1">
      <c r="A48" s="19" t="s">
        <v>62</v>
      </c>
      <c r="B48" s="4">
        <v>45</v>
      </c>
      <c r="C48" s="21" t="s">
        <v>68</v>
      </c>
      <c r="D48" s="21" t="s">
        <v>68</v>
      </c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</row>
    <row r="49" spans="1:34" ht="15" customHeight="1">
      <c r="A49" s="19" t="s">
        <v>62</v>
      </c>
      <c r="B49" s="4">
        <v>46</v>
      </c>
      <c r="C49" s="21" t="s">
        <v>68</v>
      </c>
      <c r="D49" s="21" t="s">
        <v>68</v>
      </c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</row>
    <row r="50" spans="1:34" ht="15" customHeight="1">
      <c r="A50" s="19" t="s">
        <v>62</v>
      </c>
      <c r="B50" s="4">
        <v>47</v>
      </c>
      <c r="C50" s="21" t="s">
        <v>68</v>
      </c>
      <c r="D50" s="21" t="s">
        <v>68</v>
      </c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</row>
    <row r="51" spans="1:34" ht="15" customHeight="1">
      <c r="A51" s="19" t="s">
        <v>62</v>
      </c>
      <c r="B51" s="4">
        <v>48</v>
      </c>
      <c r="C51" s="21" t="s">
        <v>68</v>
      </c>
      <c r="D51" s="21" t="s">
        <v>68</v>
      </c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</row>
    <row r="52" spans="1:34" ht="15" customHeight="1">
      <c r="A52" s="19" t="s">
        <v>62</v>
      </c>
      <c r="B52" s="4">
        <v>49</v>
      </c>
      <c r="C52" s="21" t="s">
        <v>68</v>
      </c>
      <c r="D52" s="21" t="s">
        <v>68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</row>
    <row r="53" spans="1:34" ht="15" customHeight="1">
      <c r="A53" s="19" t="s">
        <v>62</v>
      </c>
      <c r="B53" s="4">
        <v>50</v>
      </c>
      <c r="C53" s="21" t="s">
        <v>68</v>
      </c>
      <c r="D53" s="21" t="s">
        <v>68</v>
      </c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</row>
    <row r="54" spans="1:34" ht="15" customHeight="1">
      <c r="A54" s="19" t="s">
        <v>62</v>
      </c>
      <c r="B54" s="4">
        <v>51</v>
      </c>
      <c r="C54" s="21" t="s">
        <v>68</v>
      </c>
      <c r="D54" s="21" t="s">
        <v>68</v>
      </c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</row>
    <row r="55" spans="1:34" ht="15" customHeight="1">
      <c r="A55" s="19" t="s">
        <v>62</v>
      </c>
      <c r="B55" s="4">
        <v>52</v>
      </c>
      <c r="C55" s="21" t="s">
        <v>68</v>
      </c>
      <c r="D55" s="21" t="s">
        <v>68</v>
      </c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</row>
    <row r="56" spans="1:34" ht="15" customHeight="1">
      <c r="A56" s="19" t="s">
        <v>62</v>
      </c>
      <c r="B56" s="4">
        <v>53</v>
      </c>
      <c r="C56" s="21" t="s">
        <v>68</v>
      </c>
      <c r="D56" s="21" t="s">
        <v>68</v>
      </c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</row>
    <row r="57" spans="1:34" ht="15" customHeight="1">
      <c r="A57" s="19" t="s">
        <v>62</v>
      </c>
      <c r="B57" s="4">
        <v>54</v>
      </c>
      <c r="C57" s="21" t="s">
        <v>68</v>
      </c>
      <c r="D57" s="21" t="s">
        <v>68</v>
      </c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</row>
    <row r="58" spans="1:34" ht="15" customHeight="1">
      <c r="A58" s="19" t="s">
        <v>62</v>
      </c>
      <c r="B58" s="4">
        <v>55</v>
      </c>
      <c r="C58" s="21" t="s">
        <v>68</v>
      </c>
      <c r="D58" s="21" t="s">
        <v>68</v>
      </c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</row>
    <row r="59" spans="1:34" ht="15" customHeight="1">
      <c r="A59" s="19" t="s">
        <v>62</v>
      </c>
      <c r="B59" s="4">
        <v>56</v>
      </c>
      <c r="C59" s="21" t="s">
        <v>68</v>
      </c>
      <c r="D59" s="21" t="s">
        <v>68</v>
      </c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</row>
    <row r="60" spans="1:34" ht="15" customHeight="1">
      <c r="A60" s="19" t="s">
        <v>62</v>
      </c>
      <c r="B60" s="4">
        <v>57</v>
      </c>
      <c r="C60" s="21" t="s">
        <v>68</v>
      </c>
      <c r="D60" s="21" t="s">
        <v>68</v>
      </c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</row>
    <row r="61" spans="1:34" ht="15" customHeight="1">
      <c r="A61" s="19" t="s">
        <v>62</v>
      </c>
      <c r="B61" s="4">
        <v>58</v>
      </c>
      <c r="C61" s="21" t="s">
        <v>68</v>
      </c>
      <c r="D61" s="21" t="s">
        <v>68</v>
      </c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</row>
    <row r="62" spans="1:34" ht="15" customHeight="1">
      <c r="A62" s="19" t="s">
        <v>62</v>
      </c>
      <c r="B62" s="4">
        <v>59</v>
      </c>
      <c r="C62" s="21" t="s">
        <v>68</v>
      </c>
      <c r="D62" s="21" t="s">
        <v>68</v>
      </c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</row>
    <row r="63" spans="1:34" ht="15" customHeight="1">
      <c r="A63" s="19" t="s">
        <v>62</v>
      </c>
      <c r="B63" s="4">
        <v>60</v>
      </c>
      <c r="C63" s="21" t="s">
        <v>68</v>
      </c>
      <c r="D63" s="21" t="s">
        <v>68</v>
      </c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</row>
    <row r="64" spans="1:34" ht="15" customHeight="1">
      <c r="A64" s="19" t="s">
        <v>62</v>
      </c>
      <c r="B64" s="4">
        <v>61</v>
      </c>
      <c r="C64" s="21" t="s">
        <v>68</v>
      </c>
      <c r="D64" s="21" t="s">
        <v>68</v>
      </c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</row>
    <row r="65" spans="1:34" ht="15" customHeight="1">
      <c r="A65" s="19" t="s">
        <v>62</v>
      </c>
      <c r="B65" s="4">
        <v>62</v>
      </c>
      <c r="C65" s="21" t="s">
        <v>68</v>
      </c>
      <c r="D65" s="21" t="s">
        <v>68</v>
      </c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</row>
    <row r="66" spans="1:34" ht="15" customHeight="1">
      <c r="A66" s="19" t="s">
        <v>62</v>
      </c>
      <c r="B66" s="4">
        <v>63</v>
      </c>
      <c r="C66" s="21" t="s">
        <v>68</v>
      </c>
      <c r="D66" s="21" t="s">
        <v>68</v>
      </c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</row>
    <row r="67" spans="1:34" ht="15" customHeight="1">
      <c r="A67" s="19" t="s">
        <v>62</v>
      </c>
      <c r="B67" s="4">
        <v>64</v>
      </c>
      <c r="C67" s="21" t="s">
        <v>68</v>
      </c>
      <c r="D67" s="21" t="s">
        <v>68</v>
      </c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</row>
    <row r="68" spans="1:34" ht="15" customHeight="1">
      <c r="A68" s="19" t="s">
        <v>62</v>
      </c>
      <c r="B68" s="4">
        <v>65</v>
      </c>
      <c r="C68" s="21" t="s">
        <v>68</v>
      </c>
      <c r="D68" s="21" t="s">
        <v>68</v>
      </c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</row>
    <row r="69" spans="1:34" ht="15" customHeight="1">
      <c r="A69" s="19" t="s">
        <v>62</v>
      </c>
      <c r="B69" s="4">
        <v>66</v>
      </c>
      <c r="C69" s="21" t="s">
        <v>68</v>
      </c>
      <c r="D69" s="21" t="s">
        <v>68</v>
      </c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</row>
    <row r="70" spans="1:34" ht="15" customHeight="1">
      <c r="A70" s="19" t="s">
        <v>62</v>
      </c>
      <c r="B70" s="4">
        <v>67</v>
      </c>
      <c r="C70" s="21" t="s">
        <v>68</v>
      </c>
      <c r="D70" s="21" t="s">
        <v>68</v>
      </c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</row>
    <row r="71" spans="1:34" ht="15" customHeight="1">
      <c r="A71" s="19" t="s">
        <v>62</v>
      </c>
      <c r="B71" s="4">
        <v>68</v>
      </c>
      <c r="C71" s="21" t="s">
        <v>68</v>
      </c>
      <c r="D71" s="21" t="s">
        <v>68</v>
      </c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</row>
    <row r="72" spans="1:34" ht="15" customHeight="1">
      <c r="A72" s="19" t="s">
        <v>62</v>
      </c>
      <c r="B72" s="4">
        <v>69</v>
      </c>
      <c r="C72" s="21" t="s">
        <v>68</v>
      </c>
      <c r="D72" s="21" t="s">
        <v>68</v>
      </c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</row>
    <row r="73" spans="1:34" ht="15" customHeight="1">
      <c r="A73" s="19" t="s">
        <v>62</v>
      </c>
      <c r="B73" s="4">
        <v>70</v>
      </c>
      <c r="C73" s="21" t="s">
        <v>68</v>
      </c>
      <c r="D73" s="21" t="s">
        <v>68</v>
      </c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</row>
    <row r="74" spans="1:34" ht="15" customHeight="1">
      <c r="A74" s="19" t="s">
        <v>62</v>
      </c>
      <c r="B74" s="4">
        <v>71</v>
      </c>
      <c r="C74" s="21" t="s">
        <v>68</v>
      </c>
      <c r="D74" s="21" t="s">
        <v>68</v>
      </c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</row>
    <row r="75" spans="1:34" ht="15" customHeight="1">
      <c r="A75" s="19" t="s">
        <v>62</v>
      </c>
      <c r="B75" s="4">
        <v>72</v>
      </c>
      <c r="C75" s="21" t="s">
        <v>68</v>
      </c>
      <c r="D75" s="21" t="s">
        <v>68</v>
      </c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</row>
    <row r="76" spans="1:34" ht="15" customHeight="1">
      <c r="A76" s="19" t="s">
        <v>62</v>
      </c>
      <c r="B76" s="4">
        <v>73</v>
      </c>
      <c r="C76" s="21" t="s">
        <v>68</v>
      </c>
      <c r="D76" s="21" t="s">
        <v>68</v>
      </c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</row>
    <row r="77" spans="1:34" ht="15" customHeight="1">
      <c r="A77" s="19" t="s">
        <v>62</v>
      </c>
      <c r="B77" s="4">
        <v>74</v>
      </c>
      <c r="C77" s="21" t="s">
        <v>68</v>
      </c>
      <c r="D77" s="21" t="s">
        <v>68</v>
      </c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</row>
    <row r="78" spans="1:34" ht="15" customHeight="1">
      <c r="A78" s="19" t="s">
        <v>62</v>
      </c>
      <c r="B78" s="4">
        <v>75</v>
      </c>
      <c r="C78" s="21" t="s">
        <v>68</v>
      </c>
      <c r="D78" s="21" t="s">
        <v>68</v>
      </c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</row>
    <row r="79" spans="1:34" ht="15" customHeight="1">
      <c r="A79" s="19" t="s">
        <v>62</v>
      </c>
      <c r="B79" s="4">
        <v>76</v>
      </c>
      <c r="C79" s="21" t="s">
        <v>68</v>
      </c>
      <c r="D79" s="21" t="s">
        <v>68</v>
      </c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</row>
    <row r="80" spans="1:34" ht="15" customHeight="1">
      <c r="A80" s="19" t="s">
        <v>62</v>
      </c>
      <c r="B80" s="4">
        <v>77</v>
      </c>
      <c r="C80" s="21" t="s">
        <v>68</v>
      </c>
      <c r="D80" s="21" t="s">
        <v>68</v>
      </c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</row>
    <row r="81" spans="1:34" ht="15" customHeight="1">
      <c r="A81" s="19" t="s">
        <v>62</v>
      </c>
      <c r="B81" s="4">
        <v>78</v>
      </c>
      <c r="C81" s="21" t="s">
        <v>68</v>
      </c>
      <c r="D81" s="21" t="s">
        <v>68</v>
      </c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</row>
    <row r="82" spans="1:34" ht="15" customHeight="1">
      <c r="A82" s="19" t="s">
        <v>62</v>
      </c>
      <c r="B82" s="4">
        <v>79</v>
      </c>
      <c r="C82" s="21" t="s">
        <v>68</v>
      </c>
      <c r="D82" s="21" t="s">
        <v>68</v>
      </c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34" ht="15" customHeight="1">
      <c r="A83" s="19" t="s">
        <v>62</v>
      </c>
      <c r="B83" s="4">
        <v>80</v>
      </c>
      <c r="C83" s="21" t="s">
        <v>68</v>
      </c>
      <c r="D83" s="21" t="s">
        <v>68</v>
      </c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</row>
    <row r="84" spans="1:34" ht="15" customHeight="1">
      <c r="A84" s="19" t="s">
        <v>62</v>
      </c>
      <c r="B84" s="4">
        <v>81</v>
      </c>
      <c r="C84" s="21" t="s">
        <v>68</v>
      </c>
      <c r="D84" s="21" t="s">
        <v>68</v>
      </c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34" ht="15" customHeight="1">
      <c r="A85" s="19" t="s">
        <v>62</v>
      </c>
      <c r="B85" s="4">
        <v>82</v>
      </c>
      <c r="C85" s="21" t="s">
        <v>68</v>
      </c>
      <c r="D85" s="21" t="s">
        <v>68</v>
      </c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</sheetData>
  <sheetProtection password="C036" sheet="1" objects="1" scenarios="1"/>
  <mergeCells count="33">
    <mergeCell ref="M1:M2"/>
    <mergeCell ref="N1:N2"/>
    <mergeCell ref="E1:E2"/>
    <mergeCell ref="F1:F2"/>
    <mergeCell ref="G1:G2"/>
    <mergeCell ref="H1:H2"/>
    <mergeCell ref="I1:I2"/>
    <mergeCell ref="J1:J2"/>
    <mergeCell ref="A1:A3"/>
    <mergeCell ref="B1:C2"/>
    <mergeCell ref="D1:D2"/>
    <mergeCell ref="K1:K2"/>
    <mergeCell ref="L1:L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G25"/>
  <sheetViews>
    <sheetView workbookViewId="0">
      <selection activeCell="G5" sqref="G5"/>
    </sheetView>
  </sheetViews>
  <sheetFormatPr defaultRowHeight="15" customHeight="1"/>
  <cols>
    <col min="1" max="1" width="4.625" style="1" customWidth="1"/>
    <col min="2" max="2" width="12.625" style="1" customWidth="1"/>
    <col min="3" max="3" width="6.625" style="1" customWidth="1"/>
    <col min="4" max="5" width="4.625" style="1" customWidth="1"/>
    <col min="6" max="7" width="8.625" style="1" customWidth="1"/>
    <col min="8" max="16384" width="9" style="1"/>
  </cols>
  <sheetData>
    <row r="1" spans="1:7" ht="15" customHeight="1">
      <c r="A1" s="50" t="s">
        <v>41</v>
      </c>
      <c r="B1" s="50"/>
      <c r="C1" s="50"/>
      <c r="E1" s="50" t="s">
        <v>65</v>
      </c>
      <c r="F1" s="50"/>
      <c r="G1" s="50"/>
    </row>
    <row r="2" spans="1:7" ht="15" customHeight="1">
      <c r="A2" s="50"/>
      <c r="B2" s="50"/>
      <c r="C2" s="50"/>
      <c r="E2" s="50"/>
      <c r="F2" s="50"/>
      <c r="G2" s="50"/>
    </row>
    <row r="3" spans="1:7" ht="15" customHeight="1">
      <c r="A3" s="17" t="s">
        <v>40</v>
      </c>
      <c r="B3" s="17" t="s">
        <v>39</v>
      </c>
      <c r="C3" s="17" t="s">
        <v>38</v>
      </c>
      <c r="D3" s="27">
        <v>1</v>
      </c>
      <c r="E3" s="17" t="s">
        <v>40</v>
      </c>
      <c r="F3" s="17" t="s">
        <v>39</v>
      </c>
      <c r="G3" s="17" t="s">
        <v>66</v>
      </c>
    </row>
    <row r="4" spans="1:7" ht="15" customHeight="1">
      <c r="A4" s="4">
        <v>1</v>
      </c>
      <c r="B4" s="2" t="s">
        <v>35</v>
      </c>
      <c r="C4" s="2">
        <v>0.95</v>
      </c>
      <c r="E4" s="4">
        <v>1</v>
      </c>
      <c r="F4" s="2" t="s">
        <v>67</v>
      </c>
      <c r="G4" s="2">
        <v>30</v>
      </c>
    </row>
    <row r="5" spans="1:7" ht="15" customHeight="1">
      <c r="A5" s="4">
        <v>2</v>
      </c>
      <c r="B5" s="2" t="s">
        <v>36</v>
      </c>
      <c r="C5" s="2">
        <v>7</v>
      </c>
      <c r="E5" s="4">
        <v>2</v>
      </c>
      <c r="F5" s="2"/>
      <c r="G5" s="2"/>
    </row>
    <row r="6" spans="1:7" ht="15" customHeight="1">
      <c r="A6" s="4">
        <v>3</v>
      </c>
      <c r="B6" s="2" t="s">
        <v>37</v>
      </c>
      <c r="C6" s="2">
        <v>147</v>
      </c>
      <c r="E6" s="4">
        <v>3</v>
      </c>
      <c r="F6" s="2"/>
      <c r="G6" s="2"/>
    </row>
    <row r="7" spans="1:7" ht="15" customHeight="1">
      <c r="A7" s="4">
        <v>4</v>
      </c>
      <c r="B7" s="2" t="s">
        <v>42</v>
      </c>
      <c r="C7" s="2">
        <v>49</v>
      </c>
      <c r="E7" s="4">
        <v>4</v>
      </c>
      <c r="F7" s="2"/>
      <c r="G7" s="2"/>
    </row>
    <row r="8" spans="1:7" ht="15" customHeight="1">
      <c r="A8" s="4">
        <v>5</v>
      </c>
      <c r="B8" s="2" t="s">
        <v>43</v>
      </c>
      <c r="C8" s="2">
        <v>17</v>
      </c>
      <c r="E8" s="4">
        <v>5</v>
      </c>
      <c r="F8" s="2"/>
      <c r="G8" s="2"/>
    </row>
    <row r="9" spans="1:7" ht="15" customHeight="1">
      <c r="A9" s="4">
        <v>6</v>
      </c>
      <c r="B9" s="2" t="s">
        <v>44</v>
      </c>
      <c r="C9" s="2">
        <v>13</v>
      </c>
      <c r="E9" s="4">
        <v>6</v>
      </c>
      <c r="F9" s="2"/>
      <c r="G9" s="2"/>
    </row>
    <row r="10" spans="1:7" ht="15" customHeight="1">
      <c r="A10" s="4">
        <v>7</v>
      </c>
      <c r="B10" s="2" t="s">
        <v>45</v>
      </c>
      <c r="C10" s="2">
        <v>11</v>
      </c>
      <c r="E10" s="4">
        <v>7</v>
      </c>
      <c r="F10" s="2"/>
      <c r="G10" s="2"/>
    </row>
    <row r="11" spans="1:7" ht="15" customHeight="1">
      <c r="A11" s="4">
        <v>8</v>
      </c>
      <c r="B11" s="2" t="s">
        <v>46</v>
      </c>
      <c r="C11" s="2">
        <v>9</v>
      </c>
      <c r="E11" s="4">
        <v>8</v>
      </c>
      <c r="F11" s="2"/>
      <c r="G11" s="2"/>
    </row>
    <row r="12" spans="1:7" ht="15" customHeight="1">
      <c r="A12" s="4">
        <v>9</v>
      </c>
      <c r="B12" s="2" t="s">
        <v>47</v>
      </c>
      <c r="C12" s="2">
        <v>5</v>
      </c>
      <c r="E12" s="4">
        <v>9</v>
      </c>
      <c r="F12" s="2"/>
      <c r="G12" s="2"/>
    </row>
    <row r="13" spans="1:7" ht="15" customHeight="1">
      <c r="A13" s="4">
        <v>10</v>
      </c>
      <c r="B13" s="2" t="s">
        <v>48</v>
      </c>
      <c r="C13" s="2">
        <v>5</v>
      </c>
      <c r="E13" s="4">
        <v>10</v>
      </c>
      <c r="F13" s="2"/>
      <c r="G13" s="2"/>
    </row>
    <row r="14" spans="1:7" ht="15" customHeight="1">
      <c r="A14" s="4">
        <v>11</v>
      </c>
      <c r="B14" s="2" t="s">
        <v>49</v>
      </c>
      <c r="C14" s="2">
        <v>5</v>
      </c>
    </row>
    <row r="15" spans="1:7" ht="15" customHeight="1">
      <c r="A15" s="4">
        <v>12</v>
      </c>
      <c r="B15" s="2" t="s">
        <v>50</v>
      </c>
      <c r="C15" s="2">
        <v>5</v>
      </c>
    </row>
    <row r="16" spans="1:7" ht="15" customHeight="1">
      <c r="A16" s="4">
        <v>13</v>
      </c>
      <c r="B16" s="2" t="s">
        <v>51</v>
      </c>
      <c r="C16" s="2">
        <v>9</v>
      </c>
    </row>
    <row r="17" spans="1:3" ht="15" customHeight="1">
      <c r="A17" s="4">
        <v>14</v>
      </c>
      <c r="B17" s="2" t="s">
        <v>52</v>
      </c>
      <c r="C17" s="2">
        <v>11</v>
      </c>
    </row>
    <row r="18" spans="1:3" ht="15" customHeight="1">
      <c r="A18" s="4">
        <v>15</v>
      </c>
      <c r="B18" s="2" t="s">
        <v>53</v>
      </c>
      <c r="C18" s="2">
        <v>13</v>
      </c>
    </row>
    <row r="19" spans="1:3" ht="15" customHeight="1">
      <c r="A19" s="4">
        <v>16</v>
      </c>
      <c r="B19" s="2" t="s">
        <v>54</v>
      </c>
      <c r="C19" s="2">
        <v>17</v>
      </c>
    </row>
    <row r="20" spans="1:3" ht="15" customHeight="1">
      <c r="A20" s="4">
        <v>17</v>
      </c>
      <c r="B20" s="2" t="s">
        <v>55</v>
      </c>
      <c r="C20" s="2">
        <v>49</v>
      </c>
    </row>
    <row r="22" spans="1:3" ht="15" customHeight="1">
      <c r="A22" s="51" t="s">
        <v>74</v>
      </c>
      <c r="B22" s="51"/>
      <c r="C22" s="51"/>
    </row>
    <row r="23" spans="1:3" ht="15" customHeight="1">
      <c r="A23" s="51"/>
      <c r="B23" s="51"/>
      <c r="C23" s="51"/>
    </row>
    <row r="24" spans="1:3" ht="15" customHeight="1">
      <c r="A24" s="51" t="s">
        <v>77</v>
      </c>
      <c r="B24" s="51"/>
      <c r="C24" s="51"/>
    </row>
    <row r="25" spans="1:3" ht="15" customHeight="1">
      <c r="A25" s="51"/>
      <c r="B25" s="51"/>
      <c r="C25" s="51"/>
    </row>
  </sheetData>
  <sheetProtection password="C036" sheet="1" objects="1" scenarios="1"/>
  <mergeCells count="4">
    <mergeCell ref="A1:C2"/>
    <mergeCell ref="E1:G2"/>
    <mergeCell ref="A22:C23"/>
    <mergeCell ref="A24:C2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下注输入</vt:lpstr>
      <vt:lpstr>上分记录</vt:lpstr>
      <vt:lpstr>历史账单</vt:lpstr>
      <vt:lpstr>综合设置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</dc:creator>
  <cp:lastModifiedBy>admin</cp:lastModifiedBy>
  <dcterms:created xsi:type="dcterms:W3CDTF">2019-02-07T07:16:01Z</dcterms:created>
  <dcterms:modified xsi:type="dcterms:W3CDTF">2019-02-11T06:04:57Z</dcterms:modified>
</cp:coreProperties>
</file>