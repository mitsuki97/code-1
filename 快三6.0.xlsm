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esktop\文件\"/>
    </mc:Choice>
  </mc:AlternateContent>
  <bookViews>
    <workbookView xWindow="9552" yWindow="708" windowWidth="11724" windowHeight="9948"/>
  </bookViews>
  <sheets>
    <sheet name="下注输入" sheetId="1" r:id="rId1"/>
    <sheet name="上分记录" sheetId="3" r:id="rId2"/>
    <sheet name="历史账单" sheetId="2" r:id="rId3"/>
    <sheet name="赔率设置" sheetId="4" r:id="rId4"/>
  </sheets>
  <calcPr calcId="152511"/>
</workbook>
</file>

<file path=xl/calcChain.xml><?xml version="1.0" encoding="utf-8"?>
<calcChain xmlns="http://schemas.openxmlformats.org/spreadsheetml/2006/main">
  <c r="F7" i="4" l="1"/>
  <c r="E7" i="4"/>
  <c r="F6" i="4"/>
  <c r="E6" i="4"/>
  <c r="HN42" i="1" l="1"/>
  <c r="HO42" i="1"/>
  <c r="HP42" i="1"/>
  <c r="HQ42" i="1"/>
  <c r="HR42" i="1"/>
  <c r="HS42" i="1"/>
  <c r="HT42" i="1"/>
  <c r="HU42" i="1"/>
  <c r="HV42" i="1"/>
  <c r="HW42" i="1"/>
  <c r="B41" i="1"/>
  <c r="C41" i="1"/>
  <c r="D41" i="1"/>
  <c r="E41" i="1"/>
  <c r="F41" i="1"/>
  <c r="G41" i="1"/>
  <c r="H41" i="1"/>
  <c r="I41" i="1"/>
  <c r="J41" i="1"/>
  <c r="K41" i="1"/>
  <c r="L41" i="1"/>
  <c r="M41" i="1"/>
  <c r="N41" i="1"/>
  <c r="O41" i="1"/>
  <c r="P41" i="1"/>
  <c r="Q41" i="1"/>
  <c r="R41" i="1"/>
  <c r="S41" i="1"/>
  <c r="T41" i="1"/>
  <c r="U41" i="1"/>
  <c r="V41" i="1"/>
  <c r="W41" i="1"/>
  <c r="X41" i="1"/>
  <c r="Y41" i="1"/>
  <c r="Z41" i="1"/>
  <c r="AA41" i="1"/>
  <c r="AB41" i="1"/>
  <c r="AC41" i="1"/>
  <c r="AD41" i="1"/>
  <c r="AE41" i="1"/>
  <c r="AF41" i="1"/>
  <c r="AG41" i="1"/>
  <c r="AH41" i="1"/>
  <c r="AI41" i="1"/>
  <c r="AJ41" i="1"/>
  <c r="AK41" i="1"/>
  <c r="AL41" i="1"/>
  <c r="AM41" i="1"/>
  <c r="AN41" i="1"/>
  <c r="AO41" i="1"/>
  <c r="AP41" i="1"/>
  <c r="AQ41" i="1"/>
  <c r="AR41" i="1"/>
  <c r="AS41" i="1"/>
  <c r="AT41" i="1"/>
  <c r="AU41" i="1"/>
  <c r="AV41" i="1"/>
  <c r="AW41" i="1"/>
  <c r="AX41" i="1"/>
  <c r="AY41" i="1"/>
  <c r="AZ41" i="1"/>
  <c r="BA41" i="1"/>
  <c r="BB41" i="1"/>
  <c r="BC41" i="1"/>
  <c r="BD41" i="1"/>
  <c r="BE41" i="1"/>
  <c r="BF41" i="1"/>
  <c r="BG41" i="1"/>
  <c r="BH41" i="1"/>
  <c r="BI41" i="1"/>
  <c r="BJ41" i="1"/>
  <c r="BK41" i="1"/>
  <c r="BL41" i="1"/>
  <c r="BM41" i="1"/>
  <c r="BN41" i="1"/>
  <c r="BO41" i="1"/>
  <c r="BP41" i="1"/>
  <c r="BQ41" i="1"/>
  <c r="BR41" i="1"/>
  <c r="BS41" i="1"/>
  <c r="BT41" i="1"/>
  <c r="BU41" i="1"/>
  <c r="BV41" i="1"/>
  <c r="BW41" i="1"/>
  <c r="BX41" i="1"/>
  <c r="BY41" i="1"/>
  <c r="BZ41" i="1"/>
  <c r="CA41" i="1"/>
  <c r="CB41" i="1"/>
  <c r="CC41" i="1"/>
  <c r="CD41" i="1"/>
  <c r="CE41" i="1"/>
  <c r="CF41" i="1"/>
  <c r="CG41" i="1"/>
  <c r="CH41" i="1"/>
  <c r="CI41" i="1"/>
  <c r="CJ41" i="1"/>
  <c r="CK41" i="1"/>
  <c r="CL41" i="1"/>
  <c r="CM41" i="1"/>
  <c r="CN41" i="1"/>
  <c r="CO41" i="1"/>
  <c r="CP41" i="1"/>
  <c r="CQ41" i="1"/>
  <c r="CR41" i="1"/>
  <c r="CS41" i="1"/>
  <c r="CT41" i="1"/>
  <c r="CU41" i="1"/>
  <c r="CV41" i="1"/>
  <c r="CW41" i="1"/>
  <c r="CX41" i="1"/>
  <c r="CY41" i="1"/>
  <c r="CZ41" i="1"/>
  <c r="DA41" i="1"/>
  <c r="DB41" i="1"/>
  <c r="DC41" i="1"/>
  <c r="DD41" i="1"/>
  <c r="DE41" i="1"/>
  <c r="DF41" i="1"/>
  <c r="DG41" i="1"/>
  <c r="DH41" i="1"/>
  <c r="DI41" i="1"/>
  <c r="DJ41" i="1"/>
  <c r="DK41" i="1"/>
  <c r="DL41" i="1"/>
  <c r="DM41" i="1"/>
  <c r="DN41" i="1"/>
  <c r="DO41" i="1"/>
  <c r="DP41" i="1"/>
  <c r="DQ41" i="1"/>
  <c r="DR41" i="1"/>
  <c r="DS41" i="1"/>
  <c r="DT41" i="1"/>
  <c r="DU41" i="1"/>
  <c r="DV41" i="1"/>
  <c r="DW41" i="1"/>
  <c r="DX41" i="1"/>
  <c r="DY41" i="1"/>
  <c r="DZ41" i="1"/>
  <c r="EA41" i="1"/>
  <c r="EB41" i="1"/>
  <c r="EC41" i="1"/>
  <c r="ED41" i="1"/>
  <c r="EE41" i="1"/>
  <c r="EF41" i="1"/>
  <c r="EG41" i="1"/>
  <c r="EH41" i="1"/>
  <c r="EI41" i="1"/>
  <c r="EJ41" i="1"/>
  <c r="EK41" i="1"/>
  <c r="EL41" i="1"/>
  <c r="EM41" i="1"/>
  <c r="EN41" i="1"/>
  <c r="EO41" i="1"/>
  <c r="EP41" i="1"/>
  <c r="EQ41" i="1"/>
  <c r="ER41" i="1"/>
  <c r="ES41" i="1"/>
  <c r="ET41" i="1"/>
  <c r="EU41" i="1"/>
  <c r="EV41" i="1"/>
  <c r="EW41" i="1"/>
  <c r="EX41" i="1"/>
  <c r="EY41" i="1"/>
  <c r="EZ41" i="1"/>
  <c r="FA41" i="1"/>
  <c r="FB41" i="1"/>
  <c r="FC41" i="1"/>
  <c r="FD41" i="1"/>
  <c r="FE41" i="1"/>
  <c r="FF41" i="1"/>
  <c r="FG41" i="1"/>
  <c r="FH41" i="1"/>
  <c r="FI41" i="1"/>
  <c r="FJ41" i="1"/>
  <c r="FK41" i="1"/>
  <c r="FL41" i="1"/>
  <c r="FM41" i="1"/>
  <c r="FN41" i="1"/>
  <c r="FO41" i="1"/>
  <c r="FP41" i="1"/>
  <c r="FQ41" i="1"/>
  <c r="FR41" i="1"/>
  <c r="FS41" i="1"/>
  <c r="FT41" i="1"/>
  <c r="FU41" i="1"/>
  <c r="FV41" i="1"/>
  <c r="FW41" i="1"/>
  <c r="FX41" i="1"/>
  <c r="FY41" i="1"/>
  <c r="FZ41" i="1"/>
  <c r="GA41" i="1"/>
  <c r="GB41" i="1"/>
  <c r="GC41" i="1"/>
  <c r="GD41" i="1"/>
  <c r="GE41" i="1"/>
  <c r="GF41" i="1"/>
  <c r="GG41" i="1"/>
  <c r="GH41" i="1"/>
  <c r="GI41" i="1"/>
  <c r="GJ41" i="1"/>
  <c r="GK41" i="1"/>
  <c r="GL41" i="1"/>
  <c r="GM41" i="1"/>
  <c r="GN41" i="1"/>
  <c r="GO41" i="1"/>
  <c r="GP41" i="1"/>
  <c r="GQ41" i="1"/>
  <c r="GR41" i="1"/>
  <c r="GS41" i="1"/>
  <c r="GT41" i="1"/>
  <c r="GU41" i="1"/>
  <c r="GV41" i="1"/>
  <c r="GW41" i="1"/>
  <c r="GX41" i="1"/>
  <c r="GY41" i="1"/>
  <c r="GZ41" i="1"/>
  <c r="HA41" i="1"/>
  <c r="HB41" i="1"/>
  <c r="HC41" i="1"/>
  <c r="HD41" i="1"/>
  <c r="HE41" i="1"/>
  <c r="HF41" i="1"/>
  <c r="HG41" i="1"/>
  <c r="HH41" i="1"/>
  <c r="HI41" i="1"/>
  <c r="HJ41" i="1"/>
  <c r="HK41" i="1"/>
  <c r="HK42" i="1" s="1"/>
  <c r="HL41" i="1"/>
  <c r="HL42" i="1" s="1"/>
  <c r="HM41" i="1"/>
  <c r="HM42" i="1" s="1"/>
  <c r="A41" i="1"/>
  <c r="HF42" i="1" l="1"/>
  <c r="HF44" i="1"/>
  <c r="HF43" i="1"/>
  <c r="GT42" i="1"/>
  <c r="GT44" i="1"/>
  <c r="GT43" i="1"/>
  <c r="GD42" i="1"/>
  <c r="GD44" i="1"/>
  <c r="GD43" i="1"/>
  <c r="FV42" i="1"/>
  <c r="FV44" i="1"/>
  <c r="FV43" i="1"/>
  <c r="FJ42" i="1"/>
  <c r="FJ44" i="1"/>
  <c r="FJ43" i="1"/>
  <c r="ET42" i="1"/>
  <c r="ET44" i="1"/>
  <c r="ET43" i="1"/>
  <c r="EL42" i="1"/>
  <c r="EL43" i="1"/>
  <c r="EL44" i="1"/>
  <c r="DZ42" i="1"/>
  <c r="DZ43" i="1"/>
  <c r="DZ44" i="1"/>
  <c r="DJ42" i="1"/>
  <c r="DJ43" i="1"/>
  <c r="DJ44" i="1"/>
  <c r="DB42" i="1"/>
  <c r="DB43" i="1"/>
  <c r="DB44" i="1"/>
  <c r="CP42" i="1"/>
  <c r="CP43" i="1"/>
  <c r="CP44" i="1"/>
  <c r="BZ42" i="1"/>
  <c r="BZ43" i="1"/>
  <c r="BZ44" i="1"/>
  <c r="BR42" i="1"/>
  <c r="BR43" i="1"/>
  <c r="BR44" i="1"/>
  <c r="BF42" i="1"/>
  <c r="BF43" i="1"/>
  <c r="BF44" i="1"/>
  <c r="AT42" i="1"/>
  <c r="AT43" i="1"/>
  <c r="AT44" i="1"/>
  <c r="AH42" i="1"/>
  <c r="AH44" i="1"/>
  <c r="AH43" i="1"/>
  <c r="Z42" i="1"/>
  <c r="Z43" i="1"/>
  <c r="Z44" i="1"/>
  <c r="HX4" i="1"/>
  <c r="IB4" i="1"/>
  <c r="IF4" i="1"/>
  <c r="IJ4" i="1"/>
  <c r="IN4" i="1"/>
  <c r="IR4" i="1"/>
  <c r="IV4" i="1"/>
  <c r="IZ4" i="1"/>
  <c r="JD4" i="1"/>
  <c r="JH4" i="1"/>
  <c r="JL4" i="1"/>
  <c r="JP4" i="1"/>
  <c r="JT4" i="1"/>
  <c r="JX4" i="1"/>
  <c r="KB4" i="1"/>
  <c r="KF4" i="1"/>
  <c r="KJ4" i="1"/>
  <c r="KN4" i="1"/>
  <c r="KR4" i="1"/>
  <c r="KV4" i="1"/>
  <c r="KZ4" i="1"/>
  <c r="LD4" i="1"/>
  <c r="LH4" i="1"/>
  <c r="LL4" i="1"/>
  <c r="LP4" i="1"/>
  <c r="LT4" i="1"/>
  <c r="LX4" i="1"/>
  <c r="MB4" i="1"/>
  <c r="MF4" i="1"/>
  <c r="MJ4" i="1"/>
  <c r="MN4" i="1"/>
  <c r="MR4" i="1"/>
  <c r="MV4" i="1"/>
  <c r="MZ4" i="1"/>
  <c r="ND4" i="1"/>
  <c r="NH4" i="1"/>
  <c r="NL4" i="1"/>
  <c r="NP4" i="1"/>
  <c r="NT4" i="1"/>
  <c r="NX4" i="1"/>
  <c r="OB4" i="1"/>
  <c r="OF4" i="1"/>
  <c r="OJ4" i="1"/>
  <c r="ON4" i="1"/>
  <c r="OR4" i="1"/>
  <c r="OV4" i="1"/>
  <c r="OZ4" i="1"/>
  <c r="PD4" i="1"/>
  <c r="PH4" i="1"/>
  <c r="PL4" i="1"/>
  <c r="PP4" i="1"/>
  <c r="PT4" i="1"/>
  <c r="PX4" i="1"/>
  <c r="QB4" i="1"/>
  <c r="QF4" i="1"/>
  <c r="QJ4" i="1"/>
  <c r="QN4" i="1"/>
  <c r="QR4" i="1"/>
  <c r="QV4" i="1"/>
  <c r="QZ4" i="1"/>
  <c r="RD4" i="1"/>
  <c r="RH4" i="1"/>
  <c r="HY4" i="1"/>
  <c r="IC4" i="1"/>
  <c r="IG4" i="1"/>
  <c r="IK4" i="1"/>
  <c r="IO4" i="1"/>
  <c r="IS4" i="1"/>
  <c r="IW4" i="1"/>
  <c r="JA4" i="1"/>
  <c r="JE4" i="1"/>
  <c r="JI4" i="1"/>
  <c r="JM4" i="1"/>
  <c r="JQ4" i="1"/>
  <c r="JU4" i="1"/>
  <c r="JY4" i="1"/>
  <c r="KC4" i="1"/>
  <c r="KG4" i="1"/>
  <c r="KK4" i="1"/>
  <c r="KO4" i="1"/>
  <c r="KS4" i="1"/>
  <c r="KW4" i="1"/>
  <c r="LA4" i="1"/>
  <c r="LE4" i="1"/>
  <c r="LI4" i="1"/>
  <c r="LM4" i="1"/>
  <c r="LQ4" i="1"/>
  <c r="LU4" i="1"/>
  <c r="LY4" i="1"/>
  <c r="MC4" i="1"/>
  <c r="MG4" i="1"/>
  <c r="MK4" i="1"/>
  <c r="MO4" i="1"/>
  <c r="MS4" i="1"/>
  <c r="MW4" i="1"/>
  <c r="NA4" i="1"/>
  <c r="NE4" i="1"/>
  <c r="NI4" i="1"/>
  <c r="NM4" i="1"/>
  <c r="NQ4" i="1"/>
  <c r="NU4" i="1"/>
  <c r="NY4" i="1"/>
  <c r="OC4" i="1"/>
  <c r="OG4" i="1"/>
  <c r="OK4" i="1"/>
  <c r="OO4" i="1"/>
  <c r="OS4" i="1"/>
  <c r="OW4" i="1"/>
  <c r="PA4" i="1"/>
  <c r="PE4" i="1"/>
  <c r="PI4" i="1"/>
  <c r="PM4" i="1"/>
  <c r="PQ4" i="1"/>
  <c r="PU4" i="1"/>
  <c r="PY4" i="1"/>
  <c r="QC4" i="1"/>
  <c r="QG4" i="1"/>
  <c r="QK4" i="1"/>
  <c r="QO4" i="1"/>
  <c r="QS4" i="1"/>
  <c r="QW4" i="1"/>
  <c r="RA4" i="1"/>
  <c r="RE4" i="1"/>
  <c r="RI4" i="1"/>
  <c r="HZ4" i="1"/>
  <c r="ID4" i="1"/>
  <c r="IH4" i="1"/>
  <c r="IL4" i="1"/>
  <c r="IP4" i="1"/>
  <c r="IT4" i="1"/>
  <c r="IX4" i="1"/>
  <c r="JB4" i="1"/>
  <c r="JF4" i="1"/>
  <c r="JJ4" i="1"/>
  <c r="JN4" i="1"/>
  <c r="JR4" i="1"/>
  <c r="JV4" i="1"/>
  <c r="JZ4" i="1"/>
  <c r="KD4" i="1"/>
  <c r="KH4" i="1"/>
  <c r="KL4" i="1"/>
  <c r="KP4" i="1"/>
  <c r="KT4" i="1"/>
  <c r="KX4" i="1"/>
  <c r="LB4" i="1"/>
  <c r="LF4" i="1"/>
  <c r="LJ4" i="1"/>
  <c r="LN4" i="1"/>
  <c r="LR4" i="1"/>
  <c r="LV4" i="1"/>
  <c r="LZ4" i="1"/>
  <c r="MD4" i="1"/>
  <c r="MH4" i="1"/>
  <c r="ML4" i="1"/>
  <c r="MP4" i="1"/>
  <c r="MT4" i="1"/>
  <c r="MX4" i="1"/>
  <c r="NB4" i="1"/>
  <c r="NF4" i="1"/>
  <c r="NJ4" i="1"/>
  <c r="NN4" i="1"/>
  <c r="NR4" i="1"/>
  <c r="NV4" i="1"/>
  <c r="NZ4" i="1"/>
  <c r="OD4" i="1"/>
  <c r="OH4" i="1"/>
  <c r="OL4" i="1"/>
  <c r="OP4" i="1"/>
  <c r="OT4" i="1"/>
  <c r="OX4" i="1"/>
  <c r="PB4" i="1"/>
  <c r="PF4" i="1"/>
  <c r="PJ4" i="1"/>
  <c r="PN4" i="1"/>
  <c r="PR4" i="1"/>
  <c r="PV4" i="1"/>
  <c r="PZ4" i="1"/>
  <c r="QD4" i="1"/>
  <c r="QH4" i="1"/>
  <c r="QL4" i="1"/>
  <c r="QP4" i="1"/>
  <c r="QT4" i="1"/>
  <c r="QX4" i="1"/>
  <c r="RB4" i="1"/>
  <c r="RF4" i="1"/>
  <c r="IA4" i="1"/>
  <c r="IE4" i="1"/>
  <c r="IU4" i="1"/>
  <c r="JK4" i="1"/>
  <c r="KA4" i="1"/>
  <c r="KQ4" i="1"/>
  <c r="LG4" i="1"/>
  <c r="LW4" i="1"/>
  <c r="MM4" i="1"/>
  <c r="NC4" i="1"/>
  <c r="NS4" i="1"/>
  <c r="OI4" i="1"/>
  <c r="OY4" i="1"/>
  <c r="PO4" i="1"/>
  <c r="QE4" i="1"/>
  <c r="QU4" i="1"/>
  <c r="II4" i="1"/>
  <c r="IY4" i="1"/>
  <c r="JO4" i="1"/>
  <c r="KE4" i="1"/>
  <c r="KU4" i="1"/>
  <c r="LK4" i="1"/>
  <c r="MA4" i="1"/>
  <c r="MQ4" i="1"/>
  <c r="NG4" i="1"/>
  <c r="NW4" i="1"/>
  <c r="OM4" i="1"/>
  <c r="PC4" i="1"/>
  <c r="PS4" i="1"/>
  <c r="QI4" i="1"/>
  <c r="QY4" i="1"/>
  <c r="IM4" i="1"/>
  <c r="JC4" i="1"/>
  <c r="JS4" i="1"/>
  <c r="KI4" i="1"/>
  <c r="KY4" i="1"/>
  <c r="LO4" i="1"/>
  <c r="ME4" i="1"/>
  <c r="MU4" i="1"/>
  <c r="NK4" i="1"/>
  <c r="OA4" i="1"/>
  <c r="OQ4" i="1"/>
  <c r="PG4" i="1"/>
  <c r="PW4" i="1"/>
  <c r="QM4" i="1"/>
  <c r="RC4" i="1"/>
  <c r="IQ4" i="1"/>
  <c r="LC4" i="1"/>
  <c r="NO4" i="1"/>
  <c r="QA4" i="1"/>
  <c r="MY4" i="1"/>
  <c r="JG4" i="1"/>
  <c r="LS4" i="1"/>
  <c r="OE4" i="1"/>
  <c r="QQ4" i="1"/>
  <c r="JW4" i="1"/>
  <c r="MI4" i="1"/>
  <c r="OU4" i="1"/>
  <c r="RG4" i="1"/>
  <c r="KM4" i="1"/>
  <c r="PK4" i="1"/>
  <c r="HI42" i="1"/>
  <c r="HI44" i="1"/>
  <c r="HI43" i="1"/>
  <c r="HE42" i="1"/>
  <c r="HE44" i="1"/>
  <c r="HE43" i="1"/>
  <c r="HA42" i="1"/>
  <c r="HA44" i="1"/>
  <c r="HA43" i="1"/>
  <c r="GW42" i="1"/>
  <c r="GW44" i="1"/>
  <c r="GW43" i="1"/>
  <c r="GS42" i="1"/>
  <c r="GS44" i="1"/>
  <c r="GS43" i="1"/>
  <c r="GO42" i="1"/>
  <c r="GO44" i="1"/>
  <c r="GO43" i="1"/>
  <c r="GK42" i="1"/>
  <c r="GK44" i="1"/>
  <c r="GK43" i="1"/>
  <c r="GG42" i="1"/>
  <c r="GG44" i="1"/>
  <c r="GG43" i="1"/>
  <c r="GC42" i="1"/>
  <c r="GC44" i="1"/>
  <c r="GC43" i="1"/>
  <c r="FY42" i="1"/>
  <c r="FY44" i="1"/>
  <c r="FY43" i="1"/>
  <c r="FU42" i="1"/>
  <c r="FU44" i="1"/>
  <c r="FU43" i="1"/>
  <c r="FQ42" i="1"/>
  <c r="FQ44" i="1"/>
  <c r="FQ43" i="1"/>
  <c r="FM42" i="1"/>
  <c r="FM44" i="1"/>
  <c r="FM43" i="1"/>
  <c r="FI42" i="1"/>
  <c r="FI44" i="1"/>
  <c r="FI43" i="1"/>
  <c r="FE42" i="1"/>
  <c r="FE44" i="1"/>
  <c r="FE43" i="1"/>
  <c r="FA42" i="1"/>
  <c r="FA44" i="1"/>
  <c r="FA43" i="1"/>
  <c r="EW42" i="1"/>
  <c r="EW44" i="1"/>
  <c r="EW43" i="1"/>
  <c r="ES42" i="1"/>
  <c r="ES44" i="1"/>
  <c r="ES43" i="1"/>
  <c r="EO42" i="1"/>
  <c r="EO44" i="1"/>
  <c r="EO43" i="1"/>
  <c r="EK42" i="1"/>
  <c r="EK44" i="1"/>
  <c r="EK43" i="1"/>
  <c r="EG42" i="1"/>
  <c r="EG44" i="1"/>
  <c r="EG43" i="1"/>
  <c r="EC42" i="1"/>
  <c r="EC44" i="1"/>
  <c r="EC43" i="1"/>
  <c r="DY42" i="1"/>
  <c r="DY44" i="1"/>
  <c r="DY43" i="1"/>
  <c r="DU42" i="1"/>
  <c r="DU44" i="1"/>
  <c r="DU43" i="1"/>
  <c r="DQ42" i="1"/>
  <c r="DQ44" i="1"/>
  <c r="DQ43" i="1"/>
  <c r="DM42" i="1"/>
  <c r="DM44" i="1"/>
  <c r="DM43" i="1"/>
  <c r="DI42" i="1"/>
  <c r="DI44" i="1"/>
  <c r="DI43" i="1"/>
  <c r="DE42" i="1"/>
  <c r="DE44" i="1"/>
  <c r="DE43" i="1"/>
  <c r="DA42" i="1"/>
  <c r="DA44" i="1"/>
  <c r="DA43" i="1"/>
  <c r="CW42" i="1"/>
  <c r="CW43" i="1"/>
  <c r="CW44" i="1"/>
  <c r="CS42" i="1"/>
  <c r="CS44" i="1"/>
  <c r="CS43" i="1"/>
  <c r="CO42" i="1"/>
  <c r="CO44" i="1"/>
  <c r="CO43" i="1"/>
  <c r="CK42" i="1"/>
  <c r="CK44" i="1"/>
  <c r="CK43" i="1"/>
  <c r="CG42" i="1"/>
  <c r="CG44" i="1"/>
  <c r="CG43" i="1"/>
  <c r="CC42" i="1"/>
  <c r="CC44" i="1"/>
  <c r="CC43" i="1"/>
  <c r="BY42" i="1"/>
  <c r="BY44" i="1"/>
  <c r="BY43" i="1"/>
  <c r="BU42" i="1"/>
  <c r="BU44" i="1"/>
  <c r="BU43" i="1"/>
  <c r="BQ42" i="1"/>
  <c r="BQ44" i="1"/>
  <c r="BQ43" i="1"/>
  <c r="BM42" i="1"/>
  <c r="BM44" i="1"/>
  <c r="BM43" i="1"/>
  <c r="BI42" i="1"/>
  <c r="BI44" i="1"/>
  <c r="BI43" i="1"/>
  <c r="BE42" i="1"/>
  <c r="BE44" i="1"/>
  <c r="BE43" i="1"/>
  <c r="BA42" i="1"/>
  <c r="BA44" i="1"/>
  <c r="BA43" i="1"/>
  <c r="AW42" i="1"/>
  <c r="AW44" i="1"/>
  <c r="AW43" i="1"/>
  <c r="AS42" i="1"/>
  <c r="AS44" i="1"/>
  <c r="AS43" i="1"/>
  <c r="AO42" i="1"/>
  <c r="AO44" i="1"/>
  <c r="AO43" i="1"/>
  <c r="AK42" i="1"/>
  <c r="AK44" i="1"/>
  <c r="AK43" i="1"/>
  <c r="AG42" i="1"/>
  <c r="AG44" i="1"/>
  <c r="AG43" i="1"/>
  <c r="AC42" i="1"/>
  <c r="AC44" i="1"/>
  <c r="AC43" i="1"/>
  <c r="Y42" i="1"/>
  <c r="Y44" i="1"/>
  <c r="Y43" i="1"/>
  <c r="U42" i="1"/>
  <c r="Q42" i="1"/>
  <c r="HJ42" i="1"/>
  <c r="HJ44" i="1"/>
  <c r="HJ43" i="1"/>
  <c r="GX42" i="1"/>
  <c r="GX44" i="1"/>
  <c r="GX43" i="1"/>
  <c r="GP42" i="1"/>
  <c r="GP44" i="1"/>
  <c r="GP43" i="1"/>
  <c r="GH42" i="1"/>
  <c r="GH44" i="1"/>
  <c r="GH43" i="1"/>
  <c r="FR42" i="1"/>
  <c r="FR44" i="1"/>
  <c r="FR43" i="1"/>
  <c r="FF42" i="1"/>
  <c r="FF44" i="1"/>
  <c r="FF43" i="1"/>
  <c r="EX42" i="1"/>
  <c r="EX44" i="1"/>
  <c r="EX43" i="1"/>
  <c r="EH42" i="1"/>
  <c r="EH43" i="1"/>
  <c r="EH44" i="1"/>
  <c r="DV42" i="1"/>
  <c r="DV43" i="1"/>
  <c r="DV44" i="1"/>
  <c r="DN42" i="1"/>
  <c r="DN43" i="1"/>
  <c r="DN44" i="1"/>
  <c r="CX42" i="1"/>
  <c r="CX44" i="1"/>
  <c r="CX43" i="1"/>
  <c r="CL42" i="1"/>
  <c r="CL43" i="1"/>
  <c r="CL44" i="1"/>
  <c r="CD42" i="1"/>
  <c r="CD43" i="1"/>
  <c r="CD44" i="1"/>
  <c r="BN42" i="1"/>
  <c r="BN44" i="1"/>
  <c r="BN43" i="1"/>
  <c r="BB42" i="1"/>
  <c r="BB43" i="1"/>
  <c r="BB44" i="1"/>
  <c r="AP42" i="1"/>
  <c r="AP43" i="1"/>
  <c r="AP44" i="1"/>
  <c r="AD42" i="1"/>
  <c r="AD43" i="1"/>
  <c r="AD44" i="1"/>
  <c r="V42" i="1"/>
  <c r="V43" i="1"/>
  <c r="V44" i="1"/>
  <c r="R42" i="1"/>
  <c r="HH42" i="1"/>
  <c r="HH44" i="1"/>
  <c r="HH43" i="1"/>
  <c r="HD42" i="1"/>
  <c r="HD44" i="1"/>
  <c r="HD43" i="1"/>
  <c r="GZ42" i="1"/>
  <c r="GZ44" i="1"/>
  <c r="GZ43" i="1"/>
  <c r="GV42" i="1"/>
  <c r="GV44" i="1"/>
  <c r="GV43" i="1"/>
  <c r="GR42" i="1"/>
  <c r="GR44" i="1"/>
  <c r="GR43" i="1"/>
  <c r="GN42" i="1"/>
  <c r="GN44" i="1"/>
  <c r="GN43" i="1"/>
  <c r="GJ42" i="1"/>
  <c r="GJ44" i="1"/>
  <c r="GJ43" i="1"/>
  <c r="GF42" i="1"/>
  <c r="GF44" i="1"/>
  <c r="GF43" i="1"/>
  <c r="GB42" i="1"/>
  <c r="GB44" i="1"/>
  <c r="GB43" i="1"/>
  <c r="FX42" i="1"/>
  <c r="FX44" i="1"/>
  <c r="FX43" i="1"/>
  <c r="FT42" i="1"/>
  <c r="FT44" i="1"/>
  <c r="FT43" i="1"/>
  <c r="FP42" i="1"/>
  <c r="FP44" i="1"/>
  <c r="FP43" i="1"/>
  <c r="FL42" i="1"/>
  <c r="FL44" i="1"/>
  <c r="FL43" i="1"/>
  <c r="FH42" i="1"/>
  <c r="FH44" i="1"/>
  <c r="FH43" i="1"/>
  <c r="FD42" i="1"/>
  <c r="FD44" i="1"/>
  <c r="FD43" i="1"/>
  <c r="EZ42" i="1"/>
  <c r="EZ44" i="1"/>
  <c r="EZ43" i="1"/>
  <c r="EV42" i="1"/>
  <c r="EV44" i="1"/>
  <c r="EV43" i="1"/>
  <c r="ER42" i="1"/>
  <c r="ER44" i="1"/>
  <c r="ER43" i="1"/>
  <c r="EN42" i="1"/>
  <c r="EN44" i="1"/>
  <c r="EN43" i="1"/>
  <c r="EJ42" i="1"/>
  <c r="EJ44" i="1"/>
  <c r="EJ43" i="1"/>
  <c r="EF42" i="1"/>
  <c r="EF44" i="1"/>
  <c r="EF43" i="1"/>
  <c r="EB42" i="1"/>
  <c r="EB44" i="1"/>
  <c r="EB43" i="1"/>
  <c r="DX42" i="1"/>
  <c r="DX44" i="1"/>
  <c r="DX43" i="1"/>
  <c r="DT42" i="1"/>
  <c r="DT44" i="1"/>
  <c r="DT43" i="1"/>
  <c r="DP42" i="1"/>
  <c r="DP44" i="1"/>
  <c r="DP43" i="1"/>
  <c r="DL42" i="1"/>
  <c r="DL44" i="1"/>
  <c r="DL43" i="1"/>
  <c r="DH42" i="1"/>
  <c r="DH44" i="1"/>
  <c r="DH43" i="1"/>
  <c r="DD42" i="1"/>
  <c r="DD44" i="1"/>
  <c r="DD43" i="1"/>
  <c r="CZ42" i="1"/>
  <c r="CZ44" i="1"/>
  <c r="CZ43" i="1"/>
  <c r="CV42" i="1"/>
  <c r="CV44" i="1"/>
  <c r="CV43" i="1"/>
  <c r="CR42" i="1"/>
  <c r="CR44" i="1"/>
  <c r="CR43" i="1"/>
  <c r="CN42" i="1"/>
  <c r="CN44" i="1"/>
  <c r="CN43" i="1"/>
  <c r="CJ42" i="1"/>
  <c r="CJ44" i="1"/>
  <c r="CJ43" i="1"/>
  <c r="CF42" i="1"/>
  <c r="CF44" i="1"/>
  <c r="CF43" i="1"/>
  <c r="CB42" i="1"/>
  <c r="CB44" i="1"/>
  <c r="CB43" i="1"/>
  <c r="BX42" i="1"/>
  <c r="BX44" i="1"/>
  <c r="BX43" i="1"/>
  <c r="BT42" i="1"/>
  <c r="BT44" i="1"/>
  <c r="BT43" i="1"/>
  <c r="BP42" i="1"/>
  <c r="BP44" i="1"/>
  <c r="BP43" i="1"/>
  <c r="BL42" i="1"/>
  <c r="BL44" i="1"/>
  <c r="BL43" i="1"/>
  <c r="BH42" i="1"/>
  <c r="BH44" i="1"/>
  <c r="BH43" i="1"/>
  <c r="BD42" i="1"/>
  <c r="BD44" i="1"/>
  <c r="BD43" i="1"/>
  <c r="AZ42" i="1"/>
  <c r="AZ44" i="1"/>
  <c r="AZ43" i="1"/>
  <c r="AV42" i="1"/>
  <c r="AV44" i="1"/>
  <c r="AV43" i="1"/>
  <c r="AR42" i="1"/>
  <c r="AR44" i="1"/>
  <c r="AR43" i="1"/>
  <c r="AN42" i="1"/>
  <c r="AN44" i="1"/>
  <c r="AN43" i="1"/>
  <c r="AJ42" i="1"/>
  <c r="AJ44" i="1"/>
  <c r="AJ43" i="1"/>
  <c r="AF42" i="1"/>
  <c r="AF44" i="1"/>
  <c r="AF43" i="1"/>
  <c r="AB42" i="1"/>
  <c r="AB44" i="1"/>
  <c r="AB43" i="1"/>
  <c r="X42" i="1"/>
  <c r="X44" i="1"/>
  <c r="X43" i="1"/>
  <c r="T42" i="1"/>
  <c r="HB42" i="1"/>
  <c r="HB44" i="1"/>
  <c r="HB43" i="1"/>
  <c r="GL42" i="1"/>
  <c r="GL44" i="1"/>
  <c r="GL43" i="1"/>
  <c r="FZ42" i="1"/>
  <c r="FZ44" i="1"/>
  <c r="FZ43" i="1"/>
  <c r="FN42" i="1"/>
  <c r="FN44" i="1"/>
  <c r="FN43" i="1"/>
  <c r="FB42" i="1"/>
  <c r="FB44" i="1"/>
  <c r="FB43" i="1"/>
  <c r="EP42" i="1"/>
  <c r="EP43" i="1"/>
  <c r="EP44" i="1"/>
  <c r="ED42" i="1"/>
  <c r="ED43" i="1"/>
  <c r="ED44" i="1"/>
  <c r="DR42" i="1"/>
  <c r="DR43" i="1"/>
  <c r="DR44" i="1"/>
  <c r="DF42" i="1"/>
  <c r="DF43" i="1"/>
  <c r="DF44" i="1"/>
  <c r="CT42" i="1"/>
  <c r="CT43" i="1"/>
  <c r="CT44" i="1"/>
  <c r="CH42" i="1"/>
  <c r="CH43" i="1"/>
  <c r="CH44" i="1"/>
  <c r="BV42" i="1"/>
  <c r="BV43" i="1"/>
  <c r="BV44" i="1"/>
  <c r="BJ42" i="1"/>
  <c r="BJ43" i="1"/>
  <c r="BJ44" i="1"/>
  <c r="AX42" i="1"/>
  <c r="AX44" i="1"/>
  <c r="AX43" i="1"/>
  <c r="AL42" i="1"/>
  <c r="AL43" i="1"/>
  <c r="AL44" i="1"/>
  <c r="HG42" i="1"/>
  <c r="HG43" i="1"/>
  <c r="HG44" i="1"/>
  <c r="HC42" i="1"/>
  <c r="HC44" i="1"/>
  <c r="HC43" i="1"/>
  <c r="GY42" i="1"/>
  <c r="GY44" i="1"/>
  <c r="GY43" i="1"/>
  <c r="GU42" i="1"/>
  <c r="GU44" i="1"/>
  <c r="GU43" i="1"/>
  <c r="GQ42" i="1"/>
  <c r="GQ44" i="1"/>
  <c r="GQ43" i="1"/>
  <c r="GM42" i="1"/>
  <c r="GM44" i="1"/>
  <c r="GM43" i="1"/>
  <c r="GI42" i="1"/>
  <c r="GI44" i="1"/>
  <c r="GI43" i="1"/>
  <c r="GE42" i="1"/>
  <c r="GE44" i="1"/>
  <c r="GE43" i="1"/>
  <c r="GA42" i="1"/>
  <c r="GA43" i="1"/>
  <c r="GA44" i="1"/>
  <c r="FW42" i="1"/>
  <c r="FW44" i="1"/>
  <c r="FW43" i="1"/>
  <c r="FS42" i="1"/>
  <c r="FS44" i="1"/>
  <c r="FS43" i="1"/>
  <c r="FO42" i="1"/>
  <c r="FO43" i="1"/>
  <c r="FO44" i="1"/>
  <c r="FK42" i="1"/>
  <c r="FK43" i="1"/>
  <c r="FK44" i="1"/>
  <c r="FG42" i="1"/>
  <c r="FG43" i="1"/>
  <c r="FG44" i="1"/>
  <c r="FC42" i="1"/>
  <c r="FC43" i="1"/>
  <c r="FC44" i="1"/>
  <c r="EY42" i="1"/>
  <c r="EY43" i="1"/>
  <c r="EY44" i="1"/>
  <c r="EU42" i="1"/>
  <c r="EU43" i="1"/>
  <c r="EU44" i="1"/>
  <c r="EQ42" i="1"/>
  <c r="EQ43" i="1"/>
  <c r="EQ44" i="1"/>
  <c r="EM42" i="1"/>
  <c r="EM43" i="1"/>
  <c r="EM44" i="1"/>
  <c r="EI42" i="1"/>
  <c r="EI43" i="1"/>
  <c r="EI44" i="1"/>
  <c r="EE42" i="1"/>
  <c r="EE43" i="1"/>
  <c r="EE44" i="1"/>
  <c r="EA42" i="1"/>
  <c r="EA43" i="1"/>
  <c r="EA44" i="1"/>
  <c r="DW42" i="1"/>
  <c r="DW43" i="1"/>
  <c r="DW44" i="1"/>
  <c r="DS42" i="1"/>
  <c r="DS43" i="1"/>
  <c r="DS44" i="1"/>
  <c r="DO42" i="1"/>
  <c r="DO43" i="1"/>
  <c r="DO44" i="1"/>
  <c r="DK42" i="1"/>
  <c r="DK43" i="1"/>
  <c r="DK44" i="1"/>
  <c r="DG42" i="1"/>
  <c r="DG43" i="1"/>
  <c r="DG44" i="1"/>
  <c r="DC42" i="1"/>
  <c r="DC44" i="1"/>
  <c r="DC43" i="1"/>
  <c r="CY42" i="1"/>
  <c r="CY44" i="1"/>
  <c r="CY43" i="1"/>
  <c r="CU42" i="1"/>
  <c r="CU43" i="1"/>
  <c r="CU44" i="1"/>
  <c r="CQ42" i="1"/>
  <c r="CQ43" i="1"/>
  <c r="CQ44" i="1"/>
  <c r="CM42" i="1"/>
  <c r="CM44" i="1"/>
  <c r="CM43" i="1"/>
  <c r="CI42" i="1"/>
  <c r="CI43" i="1"/>
  <c r="CI44" i="1"/>
  <c r="CE42" i="1"/>
  <c r="CE44" i="1"/>
  <c r="CE43" i="1"/>
  <c r="CA42" i="1"/>
  <c r="CA43" i="1"/>
  <c r="CA44" i="1"/>
  <c r="BW42" i="1"/>
  <c r="BW44" i="1"/>
  <c r="BW43" i="1"/>
  <c r="BS42" i="1"/>
  <c r="BS43" i="1"/>
  <c r="BS44" i="1"/>
  <c r="BO42" i="1"/>
  <c r="BO44" i="1"/>
  <c r="BO43" i="1"/>
  <c r="BK42" i="1"/>
  <c r="BK44" i="1"/>
  <c r="BK43" i="1"/>
  <c r="BG42" i="1"/>
  <c r="BG44" i="1"/>
  <c r="BG43" i="1"/>
  <c r="BC42" i="1"/>
  <c r="BC44" i="1"/>
  <c r="BC43" i="1"/>
  <c r="AY42" i="1"/>
  <c r="AY44" i="1"/>
  <c r="AY43" i="1"/>
  <c r="AU42" i="1"/>
  <c r="AU44" i="1"/>
  <c r="AU43" i="1"/>
  <c r="AQ42" i="1"/>
  <c r="AQ44" i="1"/>
  <c r="AQ43" i="1"/>
  <c r="AM42" i="1"/>
  <c r="AM44" i="1"/>
  <c r="AM43" i="1"/>
  <c r="AI42" i="1"/>
  <c r="AI44" i="1"/>
  <c r="AI43" i="1"/>
  <c r="AE42" i="1"/>
  <c r="AE44" i="1"/>
  <c r="AE43" i="1"/>
  <c r="AA42" i="1"/>
  <c r="AA44" i="1"/>
  <c r="AA43" i="1"/>
  <c r="W42" i="1"/>
  <c r="W44" i="1"/>
  <c r="W43" i="1"/>
  <c r="S42" i="1"/>
  <c r="HT4" i="1"/>
  <c r="HP4" i="1"/>
  <c r="HW4" i="1"/>
  <c r="HS4" i="1"/>
  <c r="HO4" i="1"/>
  <c r="HV4" i="1"/>
  <c r="HR4" i="1"/>
  <c r="HN4" i="1"/>
  <c r="HU4" i="1"/>
  <c r="HQ4" i="1"/>
  <c r="O42" i="1"/>
  <c r="K42" i="1"/>
  <c r="K5" i="1" s="1"/>
  <c r="G42" i="1"/>
  <c r="C42" i="1"/>
  <c r="N42" i="1"/>
  <c r="J42" i="1"/>
  <c r="F42" i="1"/>
  <c r="B42" i="1"/>
  <c r="M42" i="1"/>
  <c r="I42" i="1"/>
  <c r="E42" i="1"/>
  <c r="P42" i="1"/>
  <c r="L42" i="1"/>
  <c r="H42" i="1"/>
  <c r="D42" i="1"/>
  <c r="CL4" i="1" l="1"/>
  <c r="BH4" i="1"/>
  <c r="FG4" i="1"/>
  <c r="EX4" i="1"/>
  <c r="EE4" i="1"/>
  <c r="FK4" i="1"/>
  <c r="CW4" i="1"/>
  <c r="HJ4" i="1"/>
  <c r="BS4" i="1"/>
  <c r="FI4" i="1"/>
  <c r="Z4" i="1"/>
  <c r="DT4" i="1"/>
  <c r="AK4" i="1"/>
  <c r="HC4" i="1"/>
  <c r="BC4" i="1"/>
  <c r="DO4" i="1"/>
  <c r="AR4" i="1"/>
  <c r="DD4" i="1"/>
  <c r="FP4" i="1"/>
  <c r="CG4" i="1"/>
  <c r="ES4" i="1"/>
  <c r="HE4" i="1"/>
  <c r="BV4" i="1"/>
  <c r="EH4" i="1"/>
  <c r="GT4" i="1"/>
  <c r="AA4" i="1"/>
  <c r="AQ4" i="1"/>
  <c r="BG4" i="1"/>
  <c r="BW4" i="1"/>
  <c r="CM4" i="1"/>
  <c r="DC4" i="1"/>
  <c r="DS4" i="1"/>
  <c r="EI4" i="1"/>
  <c r="EY4" i="1"/>
  <c r="FO4" i="1"/>
  <c r="GE4" i="1"/>
  <c r="GU4" i="1"/>
  <c r="AL4" i="1"/>
  <c r="CH4" i="1"/>
  <c r="ED4" i="1"/>
  <c r="FZ4" i="1"/>
  <c r="HD4" i="1"/>
  <c r="X4" i="1"/>
  <c r="AN4" i="1"/>
  <c r="BD4" i="1"/>
  <c r="BT4" i="1"/>
  <c r="CJ4" i="1"/>
  <c r="CZ4" i="1"/>
  <c r="DP4" i="1"/>
  <c r="EF4" i="1"/>
  <c r="EV4" i="1"/>
  <c r="FL4" i="1"/>
  <c r="GB4" i="1"/>
  <c r="GR4" i="1"/>
  <c r="HH4" i="1"/>
  <c r="GH4" i="1"/>
  <c r="AG4" i="1"/>
  <c r="AW4" i="1"/>
  <c r="BM4" i="1"/>
  <c r="CC4" i="1"/>
  <c r="CS4" i="1"/>
  <c r="DI4" i="1"/>
  <c r="DY4" i="1"/>
  <c r="EO4" i="1"/>
  <c r="FE4" i="1"/>
  <c r="FU4" i="1"/>
  <c r="GK4" i="1"/>
  <c r="HA4" i="1"/>
  <c r="W4" i="1"/>
  <c r="CI4" i="1"/>
  <c r="GA4" i="1"/>
  <c r="BX4" i="1"/>
  <c r="EJ4" i="1"/>
  <c r="BA4" i="1"/>
  <c r="DM4" i="1"/>
  <c r="FY4" i="1"/>
  <c r="HG4" i="1"/>
  <c r="AP4" i="1"/>
  <c r="DB4" i="1"/>
  <c r="FN4" i="1"/>
  <c r="AM4" i="1"/>
  <c r="CY4" i="1"/>
  <c r="GJ4" i="1"/>
  <c r="AB4" i="1"/>
  <c r="CN4" i="1"/>
  <c r="EZ4" i="1"/>
  <c r="BQ4" i="1"/>
  <c r="EC4" i="1"/>
  <c r="GO4" i="1"/>
  <c r="BF4" i="1"/>
  <c r="DR4" i="1"/>
  <c r="GD4" i="1"/>
  <c r="GI4" i="1"/>
  <c r="AX4" i="1"/>
  <c r="CT4" i="1"/>
  <c r="EP4" i="1"/>
  <c r="GL4" i="1"/>
  <c r="GF4" i="1"/>
  <c r="GV4" i="1"/>
  <c r="R4" i="1"/>
  <c r="EU4" i="1"/>
  <c r="AF4" i="1"/>
  <c r="AV4" i="1"/>
  <c r="BL4" i="1"/>
  <c r="CB4" i="1"/>
  <c r="CR4" i="1"/>
  <c r="DH4" i="1"/>
  <c r="DX4" i="1"/>
  <c r="EN4" i="1"/>
  <c r="FD4" i="1"/>
  <c r="FT4" i="1"/>
  <c r="Y4" i="1"/>
  <c r="AO4" i="1"/>
  <c r="BE4" i="1"/>
  <c r="BU4" i="1"/>
  <c r="CK4" i="1"/>
  <c r="DA4" i="1"/>
  <c r="DQ4" i="1"/>
  <c r="EG4" i="1"/>
  <c r="EW4" i="1"/>
  <c r="FM4" i="1"/>
  <c r="GC4" i="1"/>
  <c r="GS4" i="1"/>
  <c r="HI4" i="1"/>
  <c r="FS4" i="1"/>
  <c r="AD4" i="1"/>
  <c r="AT4" i="1"/>
  <c r="BJ4" i="1"/>
  <c r="BZ4" i="1"/>
  <c r="CP4" i="1"/>
  <c r="DF4" i="1"/>
  <c r="DV4" i="1"/>
  <c r="EL4" i="1"/>
  <c r="FB4" i="1"/>
  <c r="FR4" i="1"/>
  <c r="GX4" i="1"/>
  <c r="FW4" i="1"/>
  <c r="AE4" i="1"/>
  <c r="AU4" i="1"/>
  <c r="BK4" i="1"/>
  <c r="CA4" i="1"/>
  <c r="CQ4" i="1"/>
  <c r="DG4" i="1"/>
  <c r="DW4" i="1"/>
  <c r="FC4" i="1"/>
  <c r="GY4" i="1"/>
  <c r="HL4" i="1"/>
  <c r="AJ4" i="1"/>
  <c r="AZ4" i="1"/>
  <c r="BP4" i="1"/>
  <c r="CF4" i="1"/>
  <c r="CV4" i="1"/>
  <c r="DL4" i="1"/>
  <c r="EB4" i="1"/>
  <c r="ER4" i="1"/>
  <c r="FH4" i="1"/>
  <c r="FX4" i="1"/>
  <c r="AC4" i="1"/>
  <c r="AS4" i="1"/>
  <c r="BI4" i="1"/>
  <c r="BY4" i="1"/>
  <c r="CO4" i="1"/>
  <c r="DE4" i="1"/>
  <c r="DU4" i="1"/>
  <c r="EK4" i="1"/>
  <c r="FA4" i="1"/>
  <c r="FQ4" i="1"/>
  <c r="GG4" i="1"/>
  <c r="GW4" i="1"/>
  <c r="HM4" i="1"/>
  <c r="AH4" i="1"/>
  <c r="BN4" i="1"/>
  <c r="CD4" i="1"/>
  <c r="DJ4" i="1"/>
  <c r="DZ4" i="1"/>
  <c r="FF4" i="1"/>
  <c r="FV4" i="1"/>
  <c r="HB4" i="1"/>
  <c r="EM4" i="1"/>
  <c r="GM4" i="1"/>
  <c r="GZ4" i="1"/>
  <c r="S4" i="1"/>
  <c r="AI4" i="1"/>
  <c r="AY4" i="1"/>
  <c r="BO4" i="1"/>
  <c r="CE4" i="1"/>
  <c r="CU4" i="1"/>
  <c r="DK4" i="1"/>
  <c r="EA4" i="1"/>
  <c r="HK4" i="1"/>
  <c r="GN4" i="1"/>
  <c r="EQ4" i="1"/>
  <c r="V4" i="1"/>
  <c r="BB4" i="1"/>
  <c r="BR4" i="1"/>
  <c r="CX4" i="1"/>
  <c r="DN4" i="1"/>
  <c r="ET4" i="1"/>
  <c r="FJ4" i="1"/>
  <c r="GP4" i="1"/>
  <c r="HF4" i="1"/>
  <c r="GQ4" i="1"/>
  <c r="H5" i="1"/>
  <c r="H4" i="1"/>
  <c r="I5" i="1"/>
  <c r="I4" i="1"/>
  <c r="J5" i="1"/>
  <c r="J4" i="1"/>
  <c r="K4" i="1"/>
  <c r="M5" i="1"/>
  <c r="M4" i="1"/>
  <c r="N5" i="1"/>
  <c r="N4" i="1"/>
  <c r="O5" i="1"/>
  <c r="O4" i="1"/>
  <c r="P5" i="1"/>
  <c r="P4" i="1"/>
  <c r="C5" i="1"/>
  <c r="C4" i="1"/>
  <c r="D5" i="1"/>
  <c r="D4" i="1"/>
  <c r="E5" i="1"/>
  <c r="E4" i="1"/>
  <c r="F5" i="1"/>
  <c r="F4" i="1"/>
  <c r="E1" i="2"/>
  <c r="F3" i="2"/>
  <c r="G3" i="2"/>
  <c r="H3" i="2"/>
  <c r="I3" i="2"/>
  <c r="J3" i="2"/>
  <c r="K3" i="2"/>
  <c r="L3" i="2"/>
  <c r="M3" i="2"/>
  <c r="N3" i="2"/>
  <c r="O3" i="2"/>
  <c r="P3" i="2"/>
  <c r="Q3" i="2"/>
  <c r="R3" i="2"/>
  <c r="S3" i="2"/>
  <c r="T3" i="2"/>
  <c r="U3" i="2"/>
  <c r="V3" i="2"/>
  <c r="W3" i="2"/>
  <c r="X3" i="2"/>
  <c r="Y3" i="2"/>
  <c r="Z3" i="2"/>
  <c r="AA3" i="2"/>
  <c r="AB3" i="2"/>
  <c r="AC3" i="2"/>
  <c r="AD3" i="2"/>
  <c r="AE3" i="2"/>
  <c r="AF3" i="2"/>
  <c r="AG3" i="2"/>
  <c r="AH3" i="2"/>
  <c r="AI3" i="2"/>
  <c r="AJ3" i="2"/>
  <c r="AK3" i="2"/>
  <c r="AL3" i="2"/>
  <c r="AM3" i="2"/>
  <c r="AN3" i="2"/>
  <c r="AO3" i="2"/>
  <c r="AP3" i="2"/>
  <c r="AQ3" i="2"/>
  <c r="AR3" i="2"/>
  <c r="AS3" i="2"/>
  <c r="AT3" i="2"/>
  <c r="AU3" i="2"/>
  <c r="AV3" i="2"/>
  <c r="AW3" i="2"/>
  <c r="AX3" i="2"/>
  <c r="AY3" i="2"/>
  <c r="AZ3" i="2"/>
  <c r="BA3" i="2"/>
  <c r="BB3" i="2"/>
  <c r="BC3" i="2"/>
  <c r="BD3" i="2"/>
  <c r="BE3" i="2"/>
  <c r="BF3" i="2"/>
  <c r="BG3" i="2"/>
  <c r="BH3" i="2"/>
  <c r="BI3" i="2"/>
  <c r="BJ3" i="2"/>
  <c r="BK3" i="2"/>
  <c r="BL3" i="2"/>
  <c r="BM3" i="2"/>
  <c r="BN3" i="2"/>
  <c r="BO3" i="2"/>
  <c r="BP3" i="2"/>
  <c r="BQ3" i="2"/>
  <c r="BR3" i="2"/>
  <c r="BS3" i="2"/>
  <c r="BT3" i="2"/>
  <c r="BU3" i="2"/>
  <c r="BV3" i="2"/>
  <c r="BW3" i="2"/>
  <c r="BX3" i="2"/>
  <c r="BY3" i="2"/>
  <c r="BZ3" i="2"/>
  <c r="CA3" i="2"/>
  <c r="CB3" i="2"/>
  <c r="CC3" i="2"/>
  <c r="CD3" i="2"/>
  <c r="CE3" i="2"/>
  <c r="CF3" i="2"/>
  <c r="CG3" i="2"/>
  <c r="CH3" i="2"/>
  <c r="CI3" i="2"/>
  <c r="CJ3" i="2"/>
  <c r="CK3" i="2"/>
  <c r="CL3" i="2"/>
  <c r="CM3" i="2"/>
  <c r="CN3" i="2"/>
  <c r="CO3" i="2"/>
  <c r="CP3" i="2"/>
  <c r="CQ3" i="2"/>
  <c r="CR3" i="2"/>
  <c r="CS3" i="2"/>
  <c r="CT3" i="2"/>
  <c r="CU3" i="2"/>
  <c r="CV3" i="2"/>
  <c r="CW3" i="2"/>
  <c r="CX3" i="2"/>
  <c r="CY3" i="2"/>
  <c r="CZ3" i="2"/>
  <c r="DA3" i="2"/>
  <c r="DB3" i="2"/>
  <c r="DC3" i="2"/>
  <c r="DD3" i="2"/>
  <c r="DE3" i="2"/>
  <c r="DF3" i="2"/>
  <c r="DG3" i="2"/>
  <c r="DH3" i="2"/>
  <c r="DI3" i="2"/>
  <c r="DJ3" i="2"/>
  <c r="DK3" i="2"/>
  <c r="DL3" i="2"/>
  <c r="DM3" i="2"/>
  <c r="DN3" i="2"/>
  <c r="DO3" i="2"/>
  <c r="DP3" i="2"/>
  <c r="DQ3" i="2"/>
  <c r="DR3" i="2"/>
  <c r="DS3" i="2"/>
  <c r="DT3" i="2"/>
  <c r="DU3" i="2"/>
  <c r="DV3" i="2"/>
  <c r="DW3" i="2"/>
  <c r="DX3" i="2"/>
  <c r="DY3" i="2"/>
  <c r="DZ3" i="2"/>
  <c r="EA3" i="2"/>
  <c r="EB3" i="2"/>
  <c r="EC3" i="2"/>
  <c r="ED3" i="2"/>
  <c r="EE3" i="2"/>
  <c r="EF3" i="2"/>
  <c r="EG3" i="2"/>
  <c r="EH3" i="2"/>
  <c r="EI3" i="2"/>
  <c r="EJ3" i="2"/>
  <c r="EK3" i="2"/>
  <c r="EL3" i="2"/>
  <c r="EM3" i="2"/>
  <c r="EN3" i="2"/>
  <c r="EO3" i="2"/>
  <c r="EP3" i="2"/>
  <c r="EQ3" i="2"/>
  <c r="ER3" i="2"/>
  <c r="ES3" i="2"/>
  <c r="ET3" i="2"/>
  <c r="EU3" i="2"/>
  <c r="EV3" i="2"/>
  <c r="EW3" i="2"/>
  <c r="EX3" i="2"/>
  <c r="EY3" i="2"/>
  <c r="EZ3" i="2"/>
  <c r="FA3" i="2"/>
  <c r="FB3" i="2"/>
  <c r="FC3" i="2"/>
  <c r="FD3" i="2"/>
  <c r="FE3" i="2"/>
  <c r="FF3" i="2"/>
  <c r="FG3" i="2"/>
  <c r="FH3" i="2"/>
  <c r="FI3" i="2"/>
  <c r="FJ3" i="2"/>
  <c r="FK3" i="2"/>
  <c r="FL3" i="2"/>
  <c r="FM3" i="2"/>
  <c r="FN3" i="2"/>
  <c r="FO3" i="2"/>
  <c r="FP3" i="2"/>
  <c r="FQ3" i="2"/>
  <c r="FR3" i="2"/>
  <c r="FS3" i="2"/>
  <c r="FT3" i="2"/>
  <c r="FU3" i="2"/>
  <c r="FV3" i="2"/>
  <c r="FW3" i="2"/>
  <c r="FX3" i="2"/>
  <c r="FY3" i="2"/>
  <c r="FZ3" i="2"/>
  <c r="GA3" i="2"/>
  <c r="GB3" i="2"/>
  <c r="GC3" i="2"/>
  <c r="GD3" i="2"/>
  <c r="GE3" i="2"/>
  <c r="GF3" i="2"/>
  <c r="GG3" i="2"/>
  <c r="GH3" i="2"/>
  <c r="GI3" i="2"/>
  <c r="GJ3" i="2"/>
  <c r="GK3" i="2"/>
  <c r="GL3" i="2"/>
  <c r="GM3" i="2"/>
  <c r="GN3" i="2"/>
  <c r="GO3" i="2"/>
  <c r="GP3" i="2"/>
  <c r="GQ3" i="2"/>
  <c r="GR3" i="2"/>
  <c r="GS3" i="2"/>
  <c r="GT3" i="2"/>
  <c r="GU3" i="2"/>
  <c r="GV3" i="2"/>
  <c r="GW3" i="2"/>
  <c r="GX3" i="2"/>
  <c r="GY3" i="2"/>
  <c r="GZ3" i="2"/>
  <c r="HA3" i="2"/>
  <c r="HB3" i="2"/>
  <c r="HC3" i="2"/>
  <c r="HD3" i="2"/>
  <c r="HE3" i="2"/>
  <c r="HF3" i="2"/>
  <c r="HG3" i="2"/>
  <c r="HH3" i="2"/>
  <c r="HI3" i="2"/>
  <c r="HJ3" i="2"/>
  <c r="HK3" i="2"/>
  <c r="HL3" i="2"/>
  <c r="HM3" i="2"/>
  <c r="HN3" i="2"/>
  <c r="HO3" i="2"/>
  <c r="HP3" i="2"/>
  <c r="HQ3" i="2"/>
  <c r="HR3" i="2"/>
  <c r="HS3" i="2"/>
  <c r="HT3" i="2"/>
  <c r="HU3" i="2"/>
  <c r="HV3" i="2"/>
  <c r="HW3" i="2"/>
  <c r="HX3" i="2"/>
  <c r="HY3" i="2"/>
  <c r="HZ3" i="2"/>
  <c r="IA3" i="2"/>
  <c r="IB3" i="2"/>
  <c r="IC3" i="2"/>
  <c r="ID3" i="2"/>
  <c r="IE3" i="2"/>
  <c r="IF3" i="2"/>
  <c r="IG3" i="2"/>
  <c r="IH3" i="2"/>
  <c r="II3" i="2"/>
  <c r="IJ3" i="2"/>
  <c r="IK3" i="2"/>
  <c r="IL3" i="2"/>
  <c r="IM3" i="2"/>
  <c r="IN3" i="2"/>
  <c r="IO3" i="2"/>
  <c r="IP3" i="2"/>
  <c r="IQ3" i="2"/>
  <c r="IR3" i="2"/>
  <c r="IS3" i="2"/>
  <c r="IT3" i="2"/>
  <c r="IU3" i="2"/>
  <c r="IV3" i="2"/>
  <c r="IW3" i="2"/>
  <c r="IX3" i="2"/>
  <c r="IY3" i="2"/>
  <c r="IZ3" i="2"/>
  <c r="JA3" i="2"/>
  <c r="JB3" i="2"/>
  <c r="JC3" i="2"/>
  <c r="JD3" i="2"/>
  <c r="JE3" i="2"/>
  <c r="JF3" i="2"/>
  <c r="JG3" i="2"/>
  <c r="JH3" i="2"/>
  <c r="JI3" i="2"/>
  <c r="JJ3" i="2"/>
  <c r="JK3" i="2"/>
  <c r="JL3" i="2"/>
  <c r="JM3" i="2"/>
  <c r="JN3" i="2"/>
  <c r="JO3" i="2"/>
  <c r="JP3" i="2"/>
  <c r="JQ3" i="2"/>
  <c r="JR3" i="2"/>
  <c r="JS3" i="2"/>
  <c r="JT3" i="2"/>
  <c r="JU3" i="2"/>
  <c r="JV3" i="2"/>
  <c r="JW3" i="2"/>
  <c r="JX3" i="2"/>
  <c r="JY3" i="2"/>
  <c r="JZ3" i="2"/>
  <c r="KA3" i="2"/>
  <c r="KB3" i="2"/>
  <c r="KC3" i="2"/>
  <c r="KD3" i="2"/>
  <c r="KE3" i="2"/>
  <c r="KF3" i="2"/>
  <c r="KG3" i="2"/>
  <c r="KH3" i="2"/>
  <c r="KI3" i="2"/>
  <c r="KJ3" i="2"/>
  <c r="KK3" i="2"/>
  <c r="KL3" i="2"/>
  <c r="KM3" i="2"/>
  <c r="KN3" i="2"/>
  <c r="KO3" i="2"/>
  <c r="KP3" i="2"/>
  <c r="KQ3" i="2"/>
  <c r="KR3" i="2"/>
  <c r="KS3" i="2"/>
  <c r="KT3" i="2"/>
  <c r="KU3" i="2"/>
  <c r="KV3" i="2"/>
  <c r="KW3" i="2"/>
  <c r="KX3" i="2"/>
  <c r="KY3" i="2"/>
  <c r="KZ3" i="2"/>
  <c r="LA3" i="2"/>
  <c r="LB3" i="2"/>
  <c r="LC3" i="2"/>
  <c r="LD3" i="2"/>
  <c r="LE3" i="2"/>
  <c r="LF3" i="2"/>
  <c r="LG3" i="2"/>
  <c r="LH3" i="2"/>
  <c r="LI3" i="2"/>
  <c r="LJ3" i="2"/>
  <c r="LK3" i="2"/>
  <c r="LL3" i="2"/>
  <c r="LM3" i="2"/>
  <c r="LN3" i="2"/>
  <c r="LO3" i="2"/>
  <c r="LP3" i="2"/>
  <c r="LQ3" i="2"/>
  <c r="LR3" i="2"/>
  <c r="LS3" i="2"/>
  <c r="LT3" i="2"/>
  <c r="LU3" i="2"/>
  <c r="LV3" i="2"/>
  <c r="LW3" i="2"/>
  <c r="LX3" i="2"/>
  <c r="LY3" i="2"/>
  <c r="LZ3" i="2"/>
  <c r="MA3" i="2"/>
  <c r="MB3" i="2"/>
  <c r="MC3" i="2"/>
  <c r="MD3" i="2"/>
  <c r="ME3" i="2"/>
  <c r="MF3" i="2"/>
  <c r="MG3" i="2"/>
  <c r="MH3" i="2"/>
  <c r="MI3" i="2"/>
  <c r="MJ3" i="2"/>
  <c r="MK3" i="2"/>
  <c r="ML3" i="2"/>
  <c r="MM3" i="2"/>
  <c r="MN3" i="2"/>
  <c r="MO3" i="2"/>
  <c r="MP3" i="2"/>
  <c r="MQ3" i="2"/>
  <c r="MR3" i="2"/>
  <c r="MS3" i="2"/>
  <c r="MT3" i="2"/>
  <c r="MU3" i="2"/>
  <c r="MV3" i="2"/>
  <c r="MW3" i="2"/>
  <c r="MX3" i="2"/>
  <c r="MY3" i="2"/>
  <c r="MZ3" i="2"/>
  <c r="NA3" i="2"/>
  <c r="NB3" i="2"/>
  <c r="NC3" i="2"/>
  <c r="ND3" i="2"/>
  <c r="NE3" i="2"/>
  <c r="NF3" i="2"/>
  <c r="NG3" i="2"/>
  <c r="NH3" i="2"/>
  <c r="NI3" i="2"/>
  <c r="NJ3" i="2"/>
  <c r="NK3" i="2"/>
  <c r="NL3" i="2"/>
  <c r="NM3" i="2"/>
  <c r="NN3" i="2"/>
  <c r="NO3" i="2"/>
  <c r="NP3" i="2"/>
  <c r="NQ3" i="2"/>
  <c r="NR3" i="2"/>
  <c r="NS3" i="2"/>
  <c r="NT3" i="2"/>
  <c r="NU3" i="2"/>
  <c r="NV3" i="2"/>
  <c r="NW3" i="2"/>
  <c r="NX3" i="2"/>
  <c r="NY3" i="2"/>
  <c r="NZ3" i="2"/>
  <c r="OA3" i="2"/>
  <c r="OB3" i="2"/>
  <c r="OC3" i="2"/>
  <c r="OD3" i="2"/>
  <c r="OE3" i="2"/>
  <c r="OF3" i="2"/>
  <c r="OG3" i="2"/>
  <c r="OH3" i="2"/>
  <c r="OI3" i="2"/>
  <c r="OJ3" i="2"/>
  <c r="OK3" i="2"/>
  <c r="OL3" i="2"/>
  <c r="OM3" i="2"/>
  <c r="ON3" i="2"/>
  <c r="OO3" i="2"/>
  <c r="OP3" i="2"/>
  <c r="OQ3" i="2"/>
  <c r="OR3" i="2"/>
  <c r="OS3" i="2"/>
  <c r="OT3" i="2"/>
  <c r="OU3" i="2"/>
  <c r="OV3" i="2"/>
  <c r="OW3" i="2"/>
  <c r="OX3" i="2"/>
  <c r="OY3" i="2"/>
  <c r="OZ3" i="2"/>
  <c r="PA3" i="2"/>
  <c r="PB3" i="2"/>
  <c r="PC3" i="2"/>
  <c r="PD3" i="2"/>
  <c r="PE3" i="2"/>
  <c r="PF3" i="2"/>
  <c r="PG3" i="2"/>
  <c r="PH3" i="2"/>
  <c r="PI3" i="2"/>
  <c r="PJ3" i="2"/>
  <c r="PK3" i="2"/>
  <c r="PL3" i="2"/>
  <c r="PM3" i="2"/>
  <c r="PN3" i="2"/>
  <c r="PO3" i="2"/>
  <c r="PP3" i="2"/>
  <c r="PQ3" i="2"/>
  <c r="PR3" i="2"/>
  <c r="PS3" i="2"/>
  <c r="PT3" i="2"/>
  <c r="PU3" i="2"/>
  <c r="PV3" i="2"/>
  <c r="PW3" i="2"/>
  <c r="PX3" i="2"/>
  <c r="PY3" i="2"/>
  <c r="PZ3" i="2"/>
  <c r="QA3" i="2"/>
  <c r="QB3" i="2"/>
  <c r="QC3" i="2"/>
  <c r="QD3" i="2"/>
  <c r="QE3" i="2"/>
  <c r="QF3" i="2"/>
  <c r="QG3" i="2"/>
  <c r="F1" i="2"/>
  <c r="G1" i="2"/>
  <c r="H1" i="2"/>
  <c r="I1" i="2"/>
  <c r="J1" i="2"/>
  <c r="K1" i="2"/>
  <c r="L1" i="2"/>
  <c r="M1" i="2"/>
  <c r="N1" i="2"/>
  <c r="O1" i="2"/>
  <c r="P1" i="2"/>
  <c r="Q1" i="2"/>
  <c r="R1" i="2"/>
  <c r="S1" i="2"/>
  <c r="T1" i="2"/>
  <c r="U1" i="2"/>
  <c r="V1" i="2"/>
  <c r="W1" i="2"/>
  <c r="X1" i="2"/>
  <c r="Y1" i="2"/>
  <c r="Z1" i="2"/>
  <c r="AA1" i="2"/>
  <c r="AB1" i="2"/>
  <c r="AC1" i="2"/>
  <c r="AD1" i="2"/>
  <c r="AE1" i="2"/>
  <c r="AF1" i="2"/>
  <c r="AG1" i="2"/>
  <c r="AH1" i="2"/>
  <c r="AI1" i="2"/>
  <c r="AJ1" i="2"/>
  <c r="AK1" i="2"/>
  <c r="AL1" i="2"/>
  <c r="AM1" i="2"/>
  <c r="AN1" i="2"/>
  <c r="AO1" i="2"/>
  <c r="AP1" i="2"/>
  <c r="AQ1" i="2"/>
  <c r="AR1" i="2"/>
  <c r="AS1" i="2"/>
  <c r="AT1" i="2"/>
  <c r="AU1" i="2"/>
  <c r="AV1" i="2"/>
  <c r="AW1" i="2"/>
  <c r="AX1" i="2"/>
  <c r="AY1" i="2"/>
  <c r="AZ1" i="2"/>
  <c r="BA1" i="2"/>
  <c r="BB1" i="2"/>
  <c r="BC1" i="2"/>
  <c r="BD1" i="2"/>
  <c r="BE1" i="2"/>
  <c r="BF1" i="2"/>
  <c r="BG1" i="2"/>
  <c r="BH1" i="2"/>
  <c r="BI1" i="2"/>
  <c r="BJ1" i="2"/>
  <c r="BK1" i="2"/>
  <c r="BL1" i="2"/>
  <c r="BM1" i="2"/>
  <c r="BN1" i="2"/>
  <c r="BO1" i="2"/>
  <c r="BP1" i="2"/>
  <c r="BQ1" i="2"/>
  <c r="BR1" i="2"/>
  <c r="BS1" i="2"/>
  <c r="BT1" i="2"/>
  <c r="BU1" i="2"/>
  <c r="BV1" i="2"/>
  <c r="BW1" i="2"/>
  <c r="BX1" i="2"/>
  <c r="BY1" i="2"/>
  <c r="BZ1" i="2"/>
  <c r="CA1" i="2"/>
  <c r="CB1" i="2"/>
  <c r="CC1" i="2"/>
  <c r="CD1" i="2"/>
  <c r="CE1" i="2"/>
  <c r="CF1" i="2"/>
  <c r="CG1" i="2"/>
  <c r="CH1" i="2"/>
  <c r="CI1" i="2"/>
  <c r="CJ1" i="2"/>
  <c r="CK1" i="2"/>
  <c r="CL1" i="2"/>
  <c r="CM1" i="2"/>
  <c r="CN1" i="2"/>
  <c r="CO1" i="2"/>
  <c r="CP1" i="2"/>
  <c r="CQ1" i="2"/>
  <c r="CR1" i="2"/>
  <c r="CS1" i="2"/>
  <c r="CT1" i="2"/>
  <c r="CU1" i="2"/>
  <c r="CV1" i="2"/>
  <c r="CW1" i="2"/>
  <c r="CX1" i="2"/>
  <c r="CY1" i="2"/>
  <c r="CZ1" i="2"/>
  <c r="DA1" i="2"/>
  <c r="DB1" i="2"/>
  <c r="DC1" i="2"/>
  <c r="DD1" i="2"/>
  <c r="DE1" i="2"/>
  <c r="DF1" i="2"/>
  <c r="DG1" i="2"/>
  <c r="DH1" i="2"/>
  <c r="DI1" i="2"/>
  <c r="DJ1" i="2"/>
  <c r="DK1" i="2"/>
  <c r="DL1" i="2"/>
  <c r="DM1" i="2"/>
  <c r="DN1" i="2"/>
  <c r="DO1" i="2"/>
  <c r="DP1" i="2"/>
  <c r="DQ1" i="2"/>
  <c r="DR1" i="2"/>
  <c r="DS1" i="2"/>
  <c r="DT1" i="2"/>
  <c r="DU1" i="2"/>
  <c r="DV1" i="2"/>
  <c r="DW1" i="2"/>
  <c r="DX1" i="2"/>
  <c r="DY1" i="2"/>
  <c r="DZ1" i="2"/>
  <c r="EA1" i="2"/>
  <c r="EB1" i="2"/>
  <c r="EC1" i="2"/>
  <c r="ED1" i="2"/>
  <c r="EE1" i="2"/>
  <c r="EF1" i="2"/>
  <c r="EG1" i="2"/>
  <c r="EH1" i="2"/>
  <c r="EI1" i="2"/>
  <c r="EJ1" i="2"/>
  <c r="EK1" i="2"/>
  <c r="EL1" i="2"/>
  <c r="EM1" i="2"/>
  <c r="EN1" i="2"/>
  <c r="EO1" i="2"/>
  <c r="EP1" i="2"/>
  <c r="EQ1" i="2"/>
  <c r="ER1" i="2"/>
  <c r="ES1" i="2"/>
  <c r="ET1" i="2"/>
  <c r="EU1" i="2"/>
  <c r="EV1" i="2"/>
  <c r="EW1" i="2"/>
  <c r="EX1" i="2"/>
  <c r="EY1" i="2"/>
  <c r="EZ1" i="2"/>
  <c r="FA1" i="2"/>
  <c r="FB1" i="2"/>
  <c r="FC1" i="2"/>
  <c r="FD1" i="2"/>
  <c r="FE1" i="2"/>
  <c r="FF1" i="2"/>
  <c r="FG1" i="2"/>
  <c r="FH1" i="2"/>
  <c r="FI1" i="2"/>
  <c r="FJ1" i="2"/>
  <c r="FK1" i="2"/>
  <c r="FL1" i="2"/>
  <c r="FM1" i="2"/>
  <c r="FN1" i="2"/>
  <c r="FO1" i="2"/>
  <c r="FP1" i="2"/>
  <c r="FQ1" i="2"/>
  <c r="FR1" i="2"/>
  <c r="FS1" i="2"/>
  <c r="FT1" i="2"/>
  <c r="FU1" i="2"/>
  <c r="FV1" i="2"/>
  <c r="FW1" i="2"/>
  <c r="FX1" i="2"/>
  <c r="FY1" i="2"/>
  <c r="FZ1" i="2"/>
  <c r="GA1" i="2"/>
  <c r="GB1" i="2"/>
  <c r="GC1" i="2"/>
  <c r="GD1" i="2"/>
  <c r="GE1" i="2"/>
  <c r="GF1" i="2"/>
  <c r="GG1" i="2"/>
  <c r="GH1" i="2"/>
  <c r="GI1" i="2"/>
  <c r="GJ1" i="2"/>
  <c r="GK1" i="2"/>
  <c r="GL1" i="2"/>
  <c r="GM1" i="2"/>
  <c r="GN1" i="2"/>
  <c r="GO1" i="2"/>
  <c r="GP1" i="2"/>
  <c r="GQ1" i="2"/>
  <c r="GR1" i="2"/>
  <c r="GS1" i="2"/>
  <c r="GT1" i="2"/>
  <c r="GU1" i="2"/>
  <c r="GV1" i="2"/>
  <c r="GW1" i="2"/>
  <c r="GX1" i="2"/>
  <c r="GY1" i="2"/>
  <c r="GZ1" i="2"/>
  <c r="HA1" i="2"/>
  <c r="HB1" i="2"/>
  <c r="HC1" i="2"/>
  <c r="HD1" i="2"/>
  <c r="HE1" i="2"/>
  <c r="HF1" i="2"/>
  <c r="HG1" i="2"/>
  <c r="HH1" i="2"/>
  <c r="HI1" i="2"/>
  <c r="HJ1" i="2"/>
  <c r="HK1" i="2"/>
  <c r="HL1" i="2"/>
  <c r="HM1" i="2"/>
  <c r="HN1" i="2"/>
  <c r="HO1" i="2"/>
  <c r="HP1" i="2"/>
  <c r="HQ1" i="2"/>
  <c r="HR1" i="2"/>
  <c r="HS1" i="2"/>
  <c r="HT1" i="2"/>
  <c r="HU1" i="2"/>
  <c r="HV1" i="2"/>
  <c r="HW1" i="2"/>
  <c r="HX1" i="2"/>
  <c r="HY1" i="2"/>
  <c r="HZ1" i="2"/>
  <c r="IA1" i="2"/>
  <c r="IB1" i="2"/>
  <c r="IC1" i="2"/>
  <c r="ID1" i="2"/>
  <c r="IE1" i="2"/>
  <c r="IF1" i="2"/>
  <c r="IG1" i="2"/>
  <c r="IH1" i="2"/>
  <c r="II1" i="2"/>
  <c r="IJ1" i="2"/>
  <c r="IK1" i="2"/>
  <c r="IL1" i="2"/>
  <c r="IM1" i="2"/>
  <c r="IN1" i="2"/>
  <c r="IO1" i="2"/>
  <c r="IP1" i="2"/>
  <c r="IQ1" i="2"/>
  <c r="IR1" i="2"/>
  <c r="IS1" i="2"/>
  <c r="IT1" i="2"/>
  <c r="IU1" i="2"/>
  <c r="IV1" i="2"/>
  <c r="IW1" i="2"/>
  <c r="IX1" i="2"/>
  <c r="IY1" i="2"/>
  <c r="IZ1" i="2"/>
  <c r="JA1" i="2"/>
  <c r="JB1" i="2"/>
  <c r="JC1" i="2"/>
  <c r="JD1" i="2"/>
  <c r="JE1" i="2"/>
  <c r="JF1" i="2"/>
  <c r="JG1" i="2"/>
  <c r="JH1" i="2"/>
  <c r="JI1" i="2"/>
  <c r="JJ1" i="2"/>
  <c r="JK1" i="2"/>
  <c r="JL1" i="2"/>
  <c r="JM1" i="2"/>
  <c r="JN1" i="2"/>
  <c r="JO1" i="2"/>
  <c r="JP1" i="2"/>
  <c r="JQ1" i="2"/>
  <c r="JR1" i="2"/>
  <c r="JS1" i="2"/>
  <c r="JT1" i="2"/>
  <c r="JU1" i="2"/>
  <c r="JV1" i="2"/>
  <c r="JW1" i="2"/>
  <c r="JX1" i="2"/>
  <c r="JY1" i="2"/>
  <c r="JZ1" i="2"/>
  <c r="KA1" i="2"/>
  <c r="KB1" i="2"/>
  <c r="KC1" i="2"/>
  <c r="KD1" i="2"/>
  <c r="KE1" i="2"/>
  <c r="KF1" i="2"/>
  <c r="KG1" i="2"/>
  <c r="KH1" i="2"/>
  <c r="KI1" i="2"/>
  <c r="KJ1" i="2"/>
  <c r="KK1" i="2"/>
  <c r="KL1" i="2"/>
  <c r="KM1" i="2"/>
  <c r="KN1" i="2"/>
  <c r="KO1" i="2"/>
  <c r="KP1" i="2"/>
  <c r="KQ1" i="2"/>
  <c r="KR1" i="2"/>
  <c r="KS1" i="2"/>
  <c r="KT1" i="2"/>
  <c r="KU1" i="2"/>
  <c r="KV1" i="2"/>
  <c r="KW1" i="2"/>
  <c r="KX1" i="2"/>
  <c r="KY1" i="2"/>
  <c r="KZ1" i="2"/>
  <c r="LA1" i="2"/>
  <c r="LB1" i="2"/>
  <c r="LC1" i="2"/>
  <c r="LD1" i="2"/>
  <c r="LE1" i="2"/>
  <c r="LF1" i="2"/>
  <c r="LG1" i="2"/>
  <c r="LH1" i="2"/>
  <c r="LI1" i="2"/>
  <c r="LJ1" i="2"/>
  <c r="LK1" i="2"/>
  <c r="LL1" i="2"/>
  <c r="LM1" i="2"/>
  <c r="LN1" i="2"/>
  <c r="LO1" i="2"/>
  <c r="LP1" i="2"/>
  <c r="LQ1" i="2"/>
  <c r="LR1" i="2"/>
  <c r="LS1" i="2"/>
  <c r="LT1" i="2"/>
  <c r="LU1" i="2"/>
  <c r="LV1" i="2"/>
  <c r="LW1" i="2"/>
  <c r="LX1" i="2"/>
  <c r="LY1" i="2"/>
  <c r="LZ1" i="2"/>
  <c r="MA1" i="2"/>
  <c r="MB1" i="2"/>
  <c r="MC1" i="2"/>
  <c r="MD1" i="2"/>
  <c r="ME1" i="2"/>
  <c r="MF1" i="2"/>
  <c r="MG1" i="2"/>
  <c r="MH1" i="2"/>
  <c r="MI1" i="2"/>
  <c r="MJ1" i="2"/>
  <c r="MK1" i="2"/>
  <c r="ML1" i="2"/>
  <c r="MM1" i="2"/>
  <c r="MN1" i="2"/>
  <c r="MO1" i="2"/>
  <c r="MP1" i="2"/>
  <c r="MQ1" i="2"/>
  <c r="MR1" i="2"/>
  <c r="MS1" i="2"/>
  <c r="MT1" i="2"/>
  <c r="MU1" i="2"/>
  <c r="MV1" i="2"/>
  <c r="MW1" i="2"/>
  <c r="MX1" i="2"/>
  <c r="MY1" i="2"/>
  <c r="MZ1" i="2"/>
  <c r="NA1" i="2"/>
  <c r="NB1" i="2"/>
  <c r="NC1" i="2"/>
  <c r="ND1" i="2"/>
  <c r="NE1" i="2"/>
  <c r="NF1" i="2"/>
  <c r="NG1" i="2"/>
  <c r="NH1" i="2"/>
  <c r="NI1" i="2"/>
  <c r="NJ1" i="2"/>
  <c r="NK1" i="2"/>
  <c r="NL1" i="2"/>
  <c r="NM1" i="2"/>
  <c r="NN1" i="2"/>
  <c r="NO1" i="2"/>
  <c r="NP1" i="2"/>
  <c r="NQ1" i="2"/>
  <c r="NR1" i="2"/>
  <c r="NS1" i="2"/>
  <c r="NT1" i="2"/>
  <c r="NU1" i="2"/>
  <c r="NV1" i="2"/>
  <c r="NW1" i="2"/>
  <c r="NX1" i="2"/>
  <c r="NY1" i="2"/>
  <c r="NZ1" i="2"/>
  <c r="OA1" i="2"/>
  <c r="OB1" i="2"/>
  <c r="OC1" i="2"/>
  <c r="OD1" i="2"/>
  <c r="OE1" i="2"/>
  <c r="OF1" i="2"/>
  <c r="OG1" i="2"/>
  <c r="OH1" i="2"/>
  <c r="OI1" i="2"/>
  <c r="OJ1" i="2"/>
  <c r="OK1" i="2"/>
  <c r="OL1" i="2"/>
  <c r="OM1" i="2"/>
  <c r="ON1" i="2"/>
  <c r="OO1" i="2"/>
  <c r="OP1" i="2"/>
  <c r="OQ1" i="2"/>
  <c r="OR1" i="2"/>
  <c r="OS1" i="2"/>
  <c r="OT1" i="2"/>
  <c r="OU1" i="2"/>
  <c r="OV1" i="2"/>
  <c r="OW1" i="2"/>
  <c r="OX1" i="2"/>
  <c r="OY1" i="2"/>
  <c r="OZ1" i="2"/>
  <c r="PA1" i="2"/>
  <c r="PB1" i="2"/>
  <c r="PC1" i="2"/>
  <c r="PD1" i="2"/>
  <c r="PE1" i="2"/>
  <c r="PF1" i="2"/>
  <c r="PG1" i="2"/>
  <c r="PH1" i="2"/>
  <c r="PI1" i="2"/>
  <c r="PJ1" i="2"/>
  <c r="PK1" i="2"/>
  <c r="PL1" i="2"/>
  <c r="PM1" i="2"/>
  <c r="PN1" i="2"/>
  <c r="PO1" i="2"/>
  <c r="PP1" i="2"/>
  <c r="PQ1" i="2"/>
  <c r="PR1" i="2"/>
  <c r="PS1" i="2"/>
  <c r="PT1" i="2"/>
  <c r="PU1" i="2"/>
  <c r="PV1" i="2"/>
  <c r="PW1" i="2"/>
  <c r="PX1" i="2"/>
  <c r="PY1" i="2"/>
  <c r="PZ1" i="2"/>
  <c r="QA1" i="2"/>
  <c r="QB1" i="2"/>
  <c r="QC1" i="2"/>
  <c r="QD1" i="2"/>
  <c r="QE1" i="2"/>
  <c r="QF1" i="2"/>
  <c r="E3" i="2"/>
  <c r="C7" i="1"/>
  <c r="D7" i="1"/>
  <c r="E7" i="1"/>
  <c r="F7" i="1"/>
  <c r="G7" i="1"/>
  <c r="H7" i="1"/>
  <c r="I7" i="1"/>
  <c r="J7" i="1"/>
  <c r="K7" i="1"/>
  <c r="L7" i="1"/>
  <c r="M7" i="1"/>
  <c r="N7" i="1"/>
  <c r="O7" i="1"/>
  <c r="P7" i="1"/>
  <c r="Q7" i="1"/>
  <c r="R7" i="1"/>
  <c r="S7" i="1"/>
  <c r="T7" i="1"/>
  <c r="U7" i="1"/>
  <c r="V7" i="1"/>
  <c r="W7" i="1"/>
  <c r="X7" i="1"/>
  <c r="Y7" i="1"/>
  <c r="Z7" i="1"/>
  <c r="AA7" i="1"/>
  <c r="AB7" i="1"/>
  <c r="AC7" i="1"/>
  <c r="AD7" i="1"/>
  <c r="AE7" i="1"/>
  <c r="AF7" i="1"/>
  <c r="AG7" i="1"/>
  <c r="AH7" i="1"/>
  <c r="AI7" i="1"/>
  <c r="AJ7" i="1"/>
  <c r="AK7" i="1"/>
  <c r="AL7" i="1"/>
  <c r="AM7" i="1"/>
  <c r="AN7" i="1"/>
  <c r="AO7" i="1"/>
  <c r="AP7" i="1"/>
  <c r="AQ7" i="1"/>
  <c r="AR7" i="1"/>
  <c r="AS7" i="1"/>
  <c r="AT7" i="1"/>
  <c r="AU7" i="1"/>
  <c r="AV7" i="1"/>
  <c r="AW7" i="1"/>
  <c r="AX7" i="1"/>
  <c r="AY7" i="1"/>
  <c r="AZ7" i="1"/>
  <c r="BA7" i="1"/>
  <c r="BB7" i="1"/>
  <c r="BC7" i="1"/>
  <c r="BD7" i="1"/>
  <c r="BE7" i="1"/>
  <c r="BF7" i="1"/>
  <c r="BG7" i="1"/>
  <c r="BH7" i="1"/>
  <c r="BI7" i="1"/>
  <c r="BJ7" i="1"/>
  <c r="BK7" i="1"/>
  <c r="BL7" i="1"/>
  <c r="BM7" i="1"/>
  <c r="BN7" i="1"/>
  <c r="BO7" i="1"/>
  <c r="BP7" i="1"/>
  <c r="BQ7" i="1"/>
  <c r="BR7" i="1"/>
  <c r="BS7" i="1"/>
  <c r="BT7" i="1"/>
  <c r="BU7" i="1"/>
  <c r="BV7" i="1"/>
  <c r="BW7" i="1"/>
  <c r="BX7" i="1"/>
  <c r="BY7" i="1"/>
  <c r="BZ7" i="1"/>
  <c r="CA7" i="1"/>
  <c r="CB7" i="1"/>
  <c r="CC7" i="1"/>
  <c r="CD7" i="1"/>
  <c r="CE7" i="1"/>
  <c r="CF7" i="1"/>
  <c r="CG7" i="1"/>
  <c r="CH7" i="1"/>
  <c r="CI7" i="1"/>
  <c r="CJ7" i="1"/>
  <c r="CK7" i="1"/>
  <c r="CL7" i="1"/>
  <c r="CM7" i="1"/>
  <c r="CN7" i="1"/>
  <c r="CO7" i="1"/>
  <c r="CP7" i="1"/>
  <c r="CQ7" i="1"/>
  <c r="CR7" i="1"/>
  <c r="CS7" i="1"/>
  <c r="CT7" i="1"/>
  <c r="CU7" i="1"/>
  <c r="CV7" i="1"/>
  <c r="CW7" i="1"/>
  <c r="CX7" i="1"/>
  <c r="CY7" i="1"/>
  <c r="CZ7" i="1"/>
  <c r="DA7" i="1"/>
  <c r="DB7" i="1"/>
  <c r="DC7" i="1"/>
  <c r="DD7" i="1"/>
  <c r="DE7" i="1"/>
  <c r="DF7" i="1"/>
  <c r="DG7" i="1"/>
  <c r="DH7" i="1"/>
  <c r="DI7" i="1"/>
  <c r="DJ7" i="1"/>
  <c r="DK7" i="1"/>
  <c r="DL7" i="1"/>
  <c r="DM7" i="1"/>
  <c r="DN7" i="1"/>
  <c r="DO7" i="1"/>
  <c r="DP7" i="1"/>
  <c r="DQ7" i="1"/>
  <c r="DR7" i="1"/>
  <c r="DS7" i="1"/>
  <c r="DT7" i="1"/>
  <c r="DU7" i="1"/>
  <c r="DV7" i="1"/>
  <c r="DW7" i="1"/>
  <c r="DX7" i="1"/>
  <c r="DY7" i="1"/>
  <c r="DZ7" i="1"/>
  <c r="EA7" i="1"/>
  <c r="EB7" i="1"/>
  <c r="EC7" i="1"/>
  <c r="ED7" i="1"/>
  <c r="EE7" i="1"/>
  <c r="EF7" i="1"/>
  <c r="EG7" i="1"/>
  <c r="EH7" i="1"/>
  <c r="EI7" i="1"/>
  <c r="EJ7" i="1"/>
  <c r="EK7" i="1"/>
  <c r="EL7" i="1"/>
  <c r="EM7" i="1"/>
  <c r="EN7" i="1"/>
  <c r="EO7" i="1"/>
  <c r="EP7" i="1"/>
  <c r="EQ7" i="1"/>
  <c r="ER7" i="1"/>
  <c r="ES7" i="1"/>
  <c r="ET7" i="1"/>
  <c r="EU7" i="1"/>
  <c r="EV7" i="1"/>
  <c r="EW7" i="1"/>
  <c r="EX7" i="1"/>
  <c r="EY7" i="1"/>
  <c r="EZ7" i="1"/>
  <c r="FA7" i="1"/>
  <c r="FB7" i="1"/>
  <c r="FC7" i="1"/>
  <c r="FD7" i="1"/>
  <c r="FE7" i="1"/>
  <c r="FF7" i="1"/>
  <c r="FG7" i="1"/>
  <c r="FH7" i="1"/>
  <c r="FI7" i="1"/>
  <c r="FJ7" i="1"/>
  <c r="FK7" i="1"/>
  <c r="FL7" i="1"/>
  <c r="FM7" i="1"/>
  <c r="FN7" i="1"/>
  <c r="FO7" i="1"/>
  <c r="FP7" i="1"/>
  <c r="FQ7" i="1"/>
  <c r="FR7" i="1"/>
  <c r="FS7" i="1"/>
  <c r="FT7" i="1"/>
  <c r="FU7" i="1"/>
  <c r="FV7" i="1"/>
  <c r="FW7" i="1"/>
  <c r="FX7" i="1"/>
  <c r="FY7" i="1"/>
  <c r="FZ7" i="1"/>
  <c r="GA7" i="1"/>
  <c r="GB7" i="1"/>
  <c r="GC7" i="1"/>
  <c r="GD7" i="1"/>
  <c r="GE7" i="1"/>
  <c r="GF7" i="1"/>
  <c r="GG7" i="1"/>
  <c r="GH7" i="1"/>
  <c r="GI7" i="1"/>
  <c r="GJ7" i="1"/>
  <c r="GK7" i="1"/>
  <c r="GL7" i="1"/>
  <c r="GM7" i="1"/>
  <c r="GN7" i="1"/>
  <c r="GO7" i="1"/>
  <c r="GP7" i="1"/>
  <c r="GQ7" i="1"/>
  <c r="GR7" i="1"/>
  <c r="GS7" i="1"/>
  <c r="GT7" i="1"/>
  <c r="GU7" i="1"/>
  <c r="GV7" i="1"/>
  <c r="GW7" i="1"/>
  <c r="GX7" i="1"/>
  <c r="GY7" i="1"/>
  <c r="GZ7" i="1"/>
  <c r="HA7" i="1"/>
  <c r="HB7" i="1"/>
  <c r="HC7" i="1"/>
  <c r="HD7" i="1"/>
  <c r="HE7" i="1"/>
  <c r="HF7" i="1"/>
  <c r="HG7" i="1"/>
  <c r="HH7" i="1"/>
  <c r="HI7" i="1"/>
  <c r="HJ7" i="1"/>
  <c r="HK7" i="1"/>
  <c r="HL7" i="1"/>
  <c r="HM7" i="1"/>
  <c r="HN7" i="1"/>
  <c r="HO7" i="1"/>
  <c r="HP7" i="1"/>
  <c r="HQ7" i="1"/>
  <c r="HR7" i="1"/>
  <c r="HS7" i="1"/>
  <c r="HT7" i="1"/>
  <c r="HU7" i="1"/>
  <c r="HV7" i="1"/>
  <c r="HW7" i="1"/>
  <c r="HX7" i="1"/>
  <c r="HY7" i="1"/>
  <c r="HZ7" i="1"/>
  <c r="IA7" i="1"/>
  <c r="IB7" i="1"/>
  <c r="IC7" i="1"/>
  <c r="ID7" i="1"/>
  <c r="IE7" i="1"/>
  <c r="IF7" i="1"/>
  <c r="IG7" i="1"/>
  <c r="IH7" i="1"/>
  <c r="II7" i="1"/>
  <c r="IJ7" i="1"/>
  <c r="IK7" i="1"/>
  <c r="IL7" i="1"/>
  <c r="IM7" i="1"/>
  <c r="IN7" i="1"/>
  <c r="IO7" i="1"/>
  <c r="IP7" i="1"/>
  <c r="IQ7" i="1"/>
  <c r="IR7" i="1"/>
  <c r="IS7" i="1"/>
  <c r="IT7" i="1"/>
  <c r="IU7" i="1"/>
  <c r="IV7" i="1"/>
  <c r="IW7" i="1"/>
  <c r="IX7" i="1"/>
  <c r="IY7" i="1"/>
  <c r="IZ7" i="1"/>
  <c r="JA7" i="1"/>
  <c r="JB7" i="1"/>
  <c r="JC7" i="1"/>
  <c r="JD7" i="1"/>
  <c r="JE7" i="1"/>
  <c r="JF7" i="1"/>
  <c r="JG7" i="1"/>
  <c r="JH7" i="1"/>
  <c r="JI7" i="1"/>
  <c r="JJ7" i="1"/>
  <c r="JK7" i="1"/>
  <c r="JL7" i="1"/>
  <c r="JM7" i="1"/>
  <c r="JN7" i="1"/>
  <c r="JO7" i="1"/>
  <c r="JP7" i="1"/>
  <c r="JQ7" i="1"/>
  <c r="JR7" i="1"/>
  <c r="JS7" i="1"/>
  <c r="JT7" i="1"/>
  <c r="JU7" i="1"/>
  <c r="JV7" i="1"/>
  <c r="JW7" i="1"/>
  <c r="JX7" i="1"/>
  <c r="JY7" i="1"/>
  <c r="JZ7" i="1"/>
  <c r="KA7" i="1"/>
  <c r="KB7" i="1"/>
  <c r="KC7" i="1"/>
  <c r="KD7" i="1"/>
  <c r="KE7" i="1"/>
  <c r="KF7" i="1"/>
  <c r="KG7" i="1"/>
  <c r="KH7" i="1"/>
  <c r="KI7" i="1"/>
  <c r="KJ7" i="1"/>
  <c r="KK7" i="1"/>
  <c r="KL7" i="1"/>
  <c r="KM7" i="1"/>
  <c r="KN7" i="1"/>
  <c r="KO7" i="1"/>
  <c r="KP7" i="1"/>
  <c r="KQ7" i="1"/>
  <c r="KR7" i="1"/>
  <c r="KS7" i="1"/>
  <c r="KT7" i="1"/>
  <c r="KU7" i="1"/>
  <c r="KV7" i="1"/>
  <c r="KW7" i="1"/>
  <c r="KX7" i="1"/>
  <c r="KY7" i="1"/>
  <c r="KZ7" i="1"/>
  <c r="LA7" i="1"/>
  <c r="LB7" i="1"/>
  <c r="LC7" i="1"/>
  <c r="LD7" i="1"/>
  <c r="LE7" i="1"/>
  <c r="LF7" i="1"/>
  <c r="LG7" i="1"/>
  <c r="LH7" i="1"/>
  <c r="LI7" i="1"/>
  <c r="LJ7" i="1"/>
  <c r="LK7" i="1"/>
  <c r="LL7" i="1"/>
  <c r="LM7" i="1"/>
  <c r="LN7" i="1"/>
  <c r="LO7" i="1"/>
  <c r="LP7" i="1"/>
  <c r="LQ7" i="1"/>
  <c r="LR7" i="1"/>
  <c r="LS7" i="1"/>
  <c r="LT7" i="1"/>
  <c r="LU7" i="1"/>
  <c r="LV7" i="1"/>
  <c r="LW7" i="1"/>
  <c r="LX7" i="1"/>
  <c r="LY7" i="1"/>
  <c r="LZ7" i="1"/>
  <c r="MA7" i="1"/>
  <c r="MB7" i="1"/>
  <c r="MC7" i="1"/>
  <c r="MD7" i="1"/>
  <c r="ME7" i="1"/>
  <c r="MF7" i="1"/>
  <c r="MG7" i="1"/>
  <c r="MH7" i="1"/>
  <c r="MI7" i="1"/>
  <c r="MJ7" i="1"/>
  <c r="MK7" i="1"/>
  <c r="ML7" i="1"/>
  <c r="MM7" i="1"/>
  <c r="MN7" i="1"/>
  <c r="MO7" i="1"/>
  <c r="MP7" i="1"/>
  <c r="MQ7" i="1"/>
  <c r="MR7" i="1"/>
  <c r="MS7" i="1"/>
  <c r="MT7" i="1"/>
  <c r="MU7" i="1"/>
  <c r="MV7" i="1"/>
  <c r="MW7" i="1"/>
  <c r="MX7" i="1"/>
  <c r="MY7" i="1"/>
  <c r="MZ7" i="1"/>
  <c r="NA7" i="1"/>
  <c r="NB7" i="1"/>
  <c r="NC7" i="1"/>
  <c r="ND7" i="1"/>
  <c r="NE7" i="1"/>
  <c r="NF7" i="1"/>
  <c r="NG7" i="1"/>
  <c r="NH7" i="1"/>
  <c r="NI7" i="1"/>
  <c r="NJ7" i="1"/>
  <c r="NK7" i="1"/>
  <c r="NL7" i="1"/>
  <c r="NM7" i="1"/>
  <c r="NN7" i="1"/>
  <c r="NO7" i="1"/>
  <c r="NP7" i="1"/>
  <c r="NQ7" i="1"/>
  <c r="NR7" i="1"/>
  <c r="NS7" i="1"/>
  <c r="NT7" i="1"/>
  <c r="NU7" i="1"/>
  <c r="NV7" i="1"/>
  <c r="NW7" i="1"/>
  <c r="NX7" i="1"/>
  <c r="NY7" i="1"/>
  <c r="NZ7" i="1"/>
  <c r="OA7" i="1"/>
  <c r="OB7" i="1"/>
  <c r="OC7" i="1"/>
  <c r="OD7" i="1"/>
  <c r="OE7" i="1"/>
  <c r="OF7" i="1"/>
  <c r="OG7" i="1"/>
  <c r="OH7" i="1"/>
  <c r="OI7" i="1"/>
  <c r="OJ7" i="1"/>
  <c r="OK7" i="1"/>
  <c r="OL7" i="1"/>
  <c r="OM7" i="1"/>
  <c r="ON7" i="1"/>
  <c r="OO7" i="1"/>
  <c r="OP7" i="1"/>
  <c r="OQ7" i="1"/>
  <c r="OR7" i="1"/>
  <c r="OS7" i="1"/>
  <c r="OT7" i="1"/>
  <c r="OU7" i="1"/>
  <c r="OV7" i="1"/>
  <c r="OW7" i="1"/>
  <c r="OX7" i="1"/>
  <c r="OY7" i="1"/>
  <c r="OZ7" i="1"/>
  <c r="PA7" i="1"/>
  <c r="PB7" i="1"/>
  <c r="PC7" i="1"/>
  <c r="PD7" i="1"/>
  <c r="PE7" i="1"/>
  <c r="PF7" i="1"/>
  <c r="PG7" i="1"/>
  <c r="PH7" i="1"/>
  <c r="PI7" i="1"/>
  <c r="PJ7" i="1"/>
  <c r="PK7" i="1"/>
  <c r="PL7" i="1"/>
  <c r="PM7" i="1"/>
  <c r="PN7" i="1"/>
  <c r="PO7" i="1"/>
  <c r="PP7" i="1"/>
  <c r="PQ7" i="1"/>
  <c r="PR7" i="1"/>
  <c r="PS7" i="1"/>
  <c r="PT7" i="1"/>
  <c r="PU7" i="1"/>
  <c r="PV7" i="1"/>
  <c r="PW7" i="1"/>
  <c r="PX7" i="1"/>
  <c r="PY7" i="1"/>
  <c r="PZ7" i="1"/>
  <c r="QA7" i="1"/>
  <c r="QB7" i="1"/>
  <c r="QC7" i="1"/>
  <c r="QD7" i="1"/>
  <c r="QE7" i="1"/>
  <c r="QF7" i="1"/>
  <c r="QG7" i="1"/>
  <c r="QH7" i="1"/>
  <c r="QI7" i="1"/>
  <c r="QJ7" i="1"/>
  <c r="QK7" i="1"/>
  <c r="QL7" i="1"/>
  <c r="QM7" i="1"/>
  <c r="QN7" i="1"/>
  <c r="QO7" i="1"/>
  <c r="QP7" i="1"/>
  <c r="QQ7" i="1"/>
  <c r="QR7" i="1"/>
  <c r="QS7" i="1"/>
  <c r="QT7" i="1"/>
  <c r="QU7" i="1"/>
  <c r="QV7" i="1"/>
  <c r="QW7" i="1"/>
  <c r="QX7" i="1"/>
  <c r="QY7" i="1"/>
  <c r="QZ7" i="1"/>
  <c r="RA7" i="1"/>
  <c r="RB7" i="1"/>
  <c r="RC7" i="1"/>
  <c r="RD7" i="1"/>
  <c r="RE7" i="1"/>
  <c r="RF7" i="1"/>
  <c r="RG7" i="1"/>
  <c r="RH7" i="1"/>
  <c r="RI7" i="1"/>
  <c r="RJ7" i="1"/>
  <c r="RK7" i="1"/>
  <c r="RL7" i="1"/>
  <c r="RM7" i="1"/>
  <c r="RN7" i="1"/>
  <c r="RO7" i="1"/>
  <c r="RP7" i="1"/>
  <c r="RQ7" i="1"/>
  <c r="RR7" i="1"/>
  <c r="RS7" i="1"/>
  <c r="RT7" i="1"/>
  <c r="RU7" i="1"/>
  <c r="RV7" i="1"/>
  <c r="RW7" i="1"/>
  <c r="RX7" i="1"/>
  <c r="RY7" i="1"/>
  <c r="RZ7" i="1"/>
  <c r="SA7" i="1"/>
  <c r="SB7" i="1"/>
  <c r="SC7" i="1"/>
  <c r="SD7" i="1"/>
  <c r="B7" i="1"/>
  <c r="QG1" i="2"/>
  <c r="C1" i="3"/>
  <c r="D1" i="3"/>
  <c r="E1" i="3"/>
  <c r="F1" i="3"/>
  <c r="G1" i="3"/>
  <c r="H1" i="3"/>
  <c r="I1" i="3"/>
  <c r="J1" i="3"/>
  <c r="K1" i="3"/>
  <c r="L1" i="3"/>
  <c r="M1" i="3"/>
  <c r="N1" i="3"/>
  <c r="O1" i="3"/>
  <c r="P1" i="3"/>
  <c r="Q1" i="3"/>
  <c r="R1" i="3"/>
  <c r="S1" i="3"/>
  <c r="T1" i="3"/>
  <c r="U1" i="3"/>
  <c r="V1" i="3"/>
  <c r="W1" i="3"/>
  <c r="X1" i="3"/>
  <c r="Y1" i="3"/>
  <c r="Z1" i="3"/>
  <c r="AA1" i="3"/>
  <c r="AB1" i="3"/>
  <c r="AC1" i="3"/>
  <c r="AD1" i="3"/>
  <c r="AE1" i="3"/>
  <c r="AF1" i="3"/>
  <c r="AG1" i="3"/>
  <c r="AH1" i="3"/>
  <c r="AI1" i="3"/>
  <c r="AJ1" i="3"/>
  <c r="AK1" i="3"/>
  <c r="AL1" i="3"/>
  <c r="AM1" i="3"/>
  <c r="AN1" i="3"/>
  <c r="AO1" i="3"/>
  <c r="AP1" i="3"/>
  <c r="AQ1" i="3"/>
  <c r="AR1" i="3"/>
  <c r="AS1" i="3"/>
  <c r="AT1" i="3"/>
  <c r="AU1" i="3"/>
  <c r="AV1" i="3"/>
  <c r="AW1" i="3"/>
  <c r="AX1" i="3"/>
  <c r="AY1" i="3"/>
  <c r="AZ1" i="3"/>
  <c r="BA1" i="3"/>
  <c r="BB1" i="3"/>
  <c r="BC1" i="3"/>
  <c r="BD1" i="3"/>
  <c r="BE1" i="3"/>
  <c r="BF1" i="3"/>
  <c r="BG1" i="3"/>
  <c r="BH1" i="3"/>
  <c r="BI1" i="3"/>
  <c r="BJ1" i="3"/>
  <c r="BK1" i="3"/>
  <c r="BL1" i="3"/>
  <c r="BM1" i="3"/>
  <c r="BN1" i="3"/>
  <c r="BO1" i="3"/>
  <c r="BP1" i="3"/>
  <c r="BQ1" i="3"/>
  <c r="BR1" i="3"/>
  <c r="BS1" i="3"/>
  <c r="BT1" i="3"/>
  <c r="BU1" i="3"/>
  <c r="BV1" i="3"/>
  <c r="BW1" i="3"/>
  <c r="BX1" i="3"/>
  <c r="BY1" i="3"/>
  <c r="BZ1" i="3"/>
  <c r="CA1" i="3"/>
  <c r="CB1" i="3"/>
  <c r="CC1" i="3"/>
  <c r="CD1" i="3"/>
  <c r="CE1" i="3"/>
  <c r="CF1" i="3"/>
  <c r="CG1" i="3"/>
  <c r="CH1" i="3"/>
  <c r="CI1" i="3"/>
  <c r="CJ1" i="3"/>
  <c r="CK1" i="3"/>
  <c r="CL1" i="3"/>
  <c r="CM1" i="3"/>
  <c r="CN1" i="3"/>
  <c r="CO1" i="3"/>
  <c r="CP1" i="3"/>
  <c r="CQ1" i="3"/>
  <c r="CR1" i="3"/>
  <c r="CS1" i="3"/>
  <c r="CT1" i="3"/>
  <c r="CU1" i="3"/>
  <c r="CV1" i="3"/>
  <c r="CW1" i="3"/>
  <c r="CX1" i="3"/>
  <c r="B1" i="3"/>
  <c r="C2" i="3"/>
  <c r="D2" i="3"/>
  <c r="E2" i="3"/>
  <c r="F2" i="3"/>
  <c r="G2" i="3"/>
  <c r="H2" i="3"/>
  <c r="I2" i="3"/>
  <c r="J2" i="3"/>
  <c r="K2" i="3"/>
  <c r="L2" i="3"/>
  <c r="M2" i="3"/>
  <c r="N2" i="3"/>
  <c r="O2" i="3"/>
  <c r="P2" i="3"/>
  <c r="Q2" i="3"/>
  <c r="R2" i="3"/>
  <c r="S2" i="3"/>
  <c r="T2" i="3"/>
  <c r="U2" i="3"/>
  <c r="V2" i="3"/>
  <c r="W2" i="3"/>
  <c r="X2" i="3"/>
  <c r="Y2" i="3"/>
  <c r="Z2" i="3"/>
  <c r="AA2" i="3"/>
  <c r="AB2" i="3"/>
  <c r="AC2" i="3"/>
  <c r="AD2" i="3"/>
  <c r="AE2" i="3"/>
  <c r="AF2" i="3"/>
  <c r="AG2" i="3"/>
  <c r="AH2" i="3"/>
  <c r="AI2" i="3"/>
  <c r="AJ2" i="3"/>
  <c r="AK2" i="3"/>
  <c r="AL2" i="3"/>
  <c r="AM2" i="3"/>
  <c r="AN2" i="3"/>
  <c r="AO2" i="3"/>
  <c r="AP2" i="3"/>
  <c r="AQ2" i="3"/>
  <c r="AR2" i="3"/>
  <c r="AS2" i="3"/>
  <c r="AT2" i="3"/>
  <c r="AU2" i="3"/>
  <c r="AV2" i="3"/>
  <c r="AW2" i="3"/>
  <c r="AX2" i="3"/>
  <c r="AY2" i="3"/>
  <c r="AZ2" i="3"/>
  <c r="BA2" i="3"/>
  <c r="BB2" i="3"/>
  <c r="BC2" i="3"/>
  <c r="BD2" i="3"/>
  <c r="BE2" i="3"/>
  <c r="BF2" i="3"/>
  <c r="BG2" i="3"/>
  <c r="BH2" i="3"/>
  <c r="BI2" i="3"/>
  <c r="BJ2" i="3"/>
  <c r="BK2" i="3"/>
  <c r="BL2" i="3"/>
  <c r="BM2" i="3"/>
  <c r="BN2" i="3"/>
  <c r="BO2" i="3"/>
  <c r="BP2" i="3"/>
  <c r="BQ2" i="3"/>
  <c r="BR2" i="3"/>
  <c r="BS2" i="3"/>
  <c r="BT2" i="3"/>
  <c r="BU2" i="3"/>
  <c r="BV2" i="3"/>
  <c r="BW2" i="3"/>
  <c r="BX2" i="3"/>
  <c r="BY2" i="3"/>
  <c r="BZ2" i="3"/>
  <c r="CA2" i="3"/>
  <c r="CB2" i="3"/>
  <c r="CC2" i="3"/>
  <c r="CD2" i="3"/>
  <c r="CE2" i="3"/>
  <c r="CF2" i="3"/>
  <c r="CG2" i="3"/>
  <c r="CH2" i="3"/>
  <c r="CI2" i="3"/>
  <c r="CJ2" i="3"/>
  <c r="CK2" i="3"/>
  <c r="CL2" i="3"/>
  <c r="CM2" i="3"/>
  <c r="CN2" i="3"/>
  <c r="CO2" i="3"/>
  <c r="CP2" i="3"/>
  <c r="CQ2" i="3"/>
  <c r="CR2" i="3"/>
  <c r="CS2" i="3"/>
  <c r="CT2" i="3"/>
  <c r="CU2" i="3"/>
  <c r="CV2" i="3"/>
  <c r="CW2" i="3"/>
  <c r="CX2" i="3"/>
  <c r="CY2" i="3"/>
  <c r="CZ2" i="3"/>
  <c r="DA2" i="3"/>
  <c r="DB2" i="3"/>
  <c r="DC2" i="3"/>
  <c r="DD2" i="3"/>
  <c r="DE2" i="3"/>
  <c r="DF2" i="3"/>
  <c r="DG2" i="3"/>
  <c r="DH2" i="3"/>
  <c r="DI2" i="3"/>
  <c r="DJ2" i="3"/>
  <c r="DK2" i="3"/>
  <c r="DL2" i="3"/>
  <c r="DM2" i="3"/>
  <c r="DN2" i="3"/>
  <c r="DO2" i="3"/>
  <c r="DP2" i="3"/>
  <c r="DQ2" i="3"/>
  <c r="DR2" i="3"/>
  <c r="DS2" i="3"/>
  <c r="DT2" i="3"/>
  <c r="DU2" i="3"/>
  <c r="DV2" i="3"/>
  <c r="DW2" i="3"/>
  <c r="DX2" i="3"/>
  <c r="DY2" i="3"/>
  <c r="DZ2" i="3"/>
  <c r="EA2" i="3"/>
  <c r="EB2" i="3"/>
  <c r="EC2" i="3"/>
  <c r="ED2" i="3"/>
  <c r="EE2" i="3"/>
  <c r="EF2" i="3"/>
  <c r="EG2" i="3"/>
  <c r="EH2" i="3"/>
  <c r="EI2" i="3"/>
  <c r="EJ2" i="3"/>
  <c r="EK2" i="3"/>
  <c r="EL2" i="3"/>
  <c r="EM2" i="3"/>
  <c r="EN2" i="3"/>
  <c r="EO2" i="3"/>
  <c r="EP2" i="3"/>
  <c r="EQ2" i="3"/>
  <c r="ER2" i="3"/>
  <c r="ES2" i="3"/>
  <c r="ET2" i="3"/>
  <c r="EU2" i="3"/>
  <c r="EV2" i="3"/>
  <c r="EW2" i="3"/>
  <c r="EX2" i="3"/>
  <c r="EY2" i="3"/>
  <c r="EZ2" i="3"/>
  <c r="FA2" i="3"/>
  <c r="FB2" i="3"/>
  <c r="FC2" i="3"/>
  <c r="FD2" i="3"/>
  <c r="FE2" i="3"/>
  <c r="FF2" i="3"/>
  <c r="FG2" i="3"/>
  <c r="FH2" i="3"/>
  <c r="FI2" i="3"/>
  <c r="FJ2" i="3"/>
  <c r="FK2" i="3"/>
  <c r="FL2" i="3"/>
  <c r="FM2" i="3"/>
  <c r="FN2" i="3"/>
  <c r="FO2" i="3"/>
  <c r="FP2" i="3"/>
  <c r="FQ2" i="3"/>
  <c r="FR2" i="3"/>
  <c r="FS2" i="3"/>
  <c r="FT2" i="3"/>
  <c r="FU2" i="3"/>
  <c r="FV2" i="3"/>
  <c r="FW2" i="3"/>
  <c r="FX2" i="3"/>
  <c r="FY2" i="3"/>
  <c r="FZ2" i="3"/>
  <c r="GA2" i="3"/>
  <c r="GB2" i="3"/>
  <c r="GC2" i="3"/>
  <c r="GD2" i="3"/>
  <c r="GE2" i="3"/>
  <c r="GF2" i="3"/>
  <c r="GG2" i="3"/>
  <c r="GH2" i="3"/>
  <c r="GI2" i="3"/>
  <c r="GJ2" i="3"/>
  <c r="GK2" i="3"/>
  <c r="GL2" i="3"/>
  <c r="GM2" i="3"/>
  <c r="GN2" i="3"/>
  <c r="GO2" i="3"/>
  <c r="GP2" i="3"/>
  <c r="GQ2" i="3"/>
  <c r="GR2" i="3"/>
  <c r="GS2" i="3"/>
  <c r="GT2" i="3"/>
  <c r="GU2" i="3"/>
  <c r="GV2" i="3"/>
  <c r="GW2" i="3"/>
  <c r="GX2" i="3"/>
  <c r="GY2" i="3"/>
  <c r="GZ2" i="3"/>
  <c r="HA2" i="3"/>
  <c r="HB2" i="3"/>
  <c r="HC2" i="3"/>
  <c r="HD2" i="3"/>
  <c r="HE2" i="3"/>
  <c r="HF2" i="3"/>
  <c r="HG2" i="3"/>
  <c r="HH2" i="3"/>
  <c r="HI2" i="3"/>
  <c r="HJ2" i="3"/>
  <c r="HK2" i="3"/>
  <c r="HL2" i="3"/>
  <c r="HM2" i="3"/>
  <c r="HN2" i="3"/>
  <c r="HO2" i="3"/>
  <c r="HP2" i="3"/>
  <c r="HQ2" i="3"/>
  <c r="HR2" i="3"/>
  <c r="HS2" i="3"/>
  <c r="HT2" i="3"/>
  <c r="HU2" i="3"/>
  <c r="HV2" i="3"/>
  <c r="HW2" i="3"/>
  <c r="HX2" i="3"/>
  <c r="HY2" i="3"/>
  <c r="HZ2" i="3"/>
  <c r="IA2" i="3"/>
  <c r="IB2" i="3"/>
  <c r="IC2" i="3"/>
  <c r="ID2" i="3"/>
  <c r="IE2" i="3"/>
  <c r="IF2" i="3"/>
  <c r="IG2" i="3"/>
  <c r="IH2" i="3"/>
  <c r="II2" i="3"/>
  <c r="IJ2" i="3"/>
  <c r="IK2" i="3"/>
  <c r="IL2" i="3"/>
  <c r="IM2" i="3"/>
  <c r="IN2" i="3"/>
  <c r="IO2" i="3"/>
  <c r="IP2" i="3"/>
  <c r="IQ2" i="3"/>
  <c r="IR2" i="3"/>
  <c r="IS2" i="3"/>
  <c r="IT2" i="3"/>
  <c r="IU2" i="3"/>
  <c r="IV2" i="3"/>
  <c r="IW2" i="3"/>
  <c r="IX2" i="3"/>
  <c r="IY2" i="3"/>
  <c r="IZ2" i="3"/>
  <c r="JA2" i="3"/>
  <c r="JB2" i="3"/>
  <c r="JC2" i="3"/>
  <c r="JD2" i="3"/>
  <c r="JE2" i="3"/>
  <c r="JF2" i="3"/>
  <c r="JG2" i="3"/>
  <c r="JH2" i="3"/>
  <c r="JI2" i="3"/>
  <c r="B2" i="3"/>
  <c r="T44" i="1" l="1"/>
  <c r="T4" i="1" s="1"/>
  <c r="T43" i="1"/>
  <c r="U44" i="1"/>
  <c r="U4" i="1" s="1"/>
  <c r="U43" i="1"/>
  <c r="Q43" i="1"/>
  <c r="Q44" i="1"/>
  <c r="Q4" i="1" s="1"/>
  <c r="S43" i="1"/>
  <c r="S44" i="1"/>
  <c r="R44" i="1"/>
  <c r="R43" i="1"/>
  <c r="B1" i="2"/>
  <c r="I43" i="1"/>
  <c r="I44" i="1"/>
  <c r="E43" i="1"/>
  <c r="E44" i="1"/>
  <c r="P43" i="1"/>
  <c r="P44" i="1"/>
  <c r="D43" i="1"/>
  <c r="D44" i="1"/>
  <c r="O43" i="1"/>
  <c r="O44" i="1"/>
  <c r="K44" i="1"/>
  <c r="K43" i="1"/>
  <c r="N44" i="1"/>
  <c r="N43" i="1"/>
  <c r="J43" i="1"/>
  <c r="J44" i="1"/>
  <c r="F44" i="1"/>
  <c r="F43" i="1"/>
  <c r="M43" i="1"/>
  <c r="M44" i="1"/>
  <c r="L43" i="1"/>
  <c r="L44" i="1"/>
  <c r="H43" i="1"/>
  <c r="H44" i="1"/>
  <c r="G44" i="1"/>
  <c r="G43" i="1"/>
  <c r="C44" i="1"/>
  <c r="C43" i="1"/>
  <c r="B44" i="1"/>
  <c r="B43" i="1"/>
  <c r="A2" i="3"/>
  <c r="C38" i="1"/>
  <c r="B37" i="1"/>
  <c r="C37" i="1"/>
  <c r="B4" i="1" l="1"/>
  <c r="B5" i="1"/>
  <c r="L4" i="1"/>
  <c r="G4" i="1"/>
  <c r="HY5" i="1"/>
  <c r="IC5" i="1"/>
  <c r="IG5" i="1"/>
  <c r="IK5" i="1"/>
  <c r="IO5" i="1"/>
  <c r="IS5" i="1"/>
  <c r="IW5" i="1"/>
  <c r="JA5" i="1"/>
  <c r="JE5" i="1"/>
  <c r="JI5" i="1"/>
  <c r="JM5" i="1"/>
  <c r="JQ5" i="1"/>
  <c r="JU5" i="1"/>
  <c r="JY5" i="1"/>
  <c r="KC5" i="1"/>
  <c r="KG5" i="1"/>
  <c r="KK5" i="1"/>
  <c r="KO5" i="1"/>
  <c r="KS5" i="1"/>
  <c r="KW5" i="1"/>
  <c r="LA5" i="1"/>
  <c r="LE5" i="1"/>
  <c r="LI5" i="1"/>
  <c r="LM5" i="1"/>
  <c r="LQ5" i="1"/>
  <c r="LU5" i="1"/>
  <c r="LY5" i="1"/>
  <c r="MC5" i="1"/>
  <c r="HZ5" i="1"/>
  <c r="ID5" i="1"/>
  <c r="IH5" i="1"/>
  <c r="IL5" i="1"/>
  <c r="IP5" i="1"/>
  <c r="IT5" i="1"/>
  <c r="IX5" i="1"/>
  <c r="JB5" i="1"/>
  <c r="JF5" i="1"/>
  <c r="JJ5" i="1"/>
  <c r="JN5" i="1"/>
  <c r="JR5" i="1"/>
  <c r="JV5" i="1"/>
  <c r="JZ5" i="1"/>
  <c r="KD5" i="1"/>
  <c r="KH5" i="1"/>
  <c r="KL5" i="1"/>
  <c r="KP5" i="1"/>
  <c r="KT5" i="1"/>
  <c r="KX5" i="1"/>
  <c r="LB5" i="1"/>
  <c r="LF5" i="1"/>
  <c r="LJ5" i="1"/>
  <c r="LN5" i="1"/>
  <c r="LR5" i="1"/>
  <c r="LV5" i="1"/>
  <c r="LZ5" i="1"/>
  <c r="MD5" i="1"/>
  <c r="IB5" i="1"/>
  <c r="IJ5" i="1"/>
  <c r="IR5" i="1"/>
  <c r="IZ5" i="1"/>
  <c r="JH5" i="1"/>
  <c r="JP5" i="1"/>
  <c r="JX5" i="1"/>
  <c r="KF5" i="1"/>
  <c r="KN5" i="1"/>
  <c r="KV5" i="1"/>
  <c r="LD5" i="1"/>
  <c r="LL5" i="1"/>
  <c r="LT5" i="1"/>
  <c r="MB5" i="1"/>
  <c r="MH5" i="1"/>
  <c r="ML5" i="1"/>
  <c r="MP5" i="1"/>
  <c r="MT5" i="1"/>
  <c r="MX5" i="1"/>
  <c r="NB5" i="1"/>
  <c r="NF5" i="1"/>
  <c r="NJ5" i="1"/>
  <c r="NN5" i="1"/>
  <c r="NR5" i="1"/>
  <c r="NV5" i="1"/>
  <c r="NZ5" i="1"/>
  <c r="OD5" i="1"/>
  <c r="OH5" i="1"/>
  <c r="OL5" i="1"/>
  <c r="OP5" i="1"/>
  <c r="OT5" i="1"/>
  <c r="OX5" i="1"/>
  <c r="PB5" i="1"/>
  <c r="PF5" i="1"/>
  <c r="PJ5" i="1"/>
  <c r="PN5" i="1"/>
  <c r="PR5" i="1"/>
  <c r="PV5" i="1"/>
  <c r="PZ5" i="1"/>
  <c r="QD5" i="1"/>
  <c r="QH5" i="1"/>
  <c r="QL5" i="1"/>
  <c r="QP5" i="1"/>
  <c r="QT5" i="1"/>
  <c r="QX5" i="1"/>
  <c r="RB5" i="1"/>
  <c r="RF5" i="1"/>
  <c r="RJ5" i="1"/>
  <c r="RJ4" i="1" s="1"/>
  <c r="RN5" i="1"/>
  <c r="RN4" i="1" s="1"/>
  <c r="RR5" i="1"/>
  <c r="RR4" i="1" s="1"/>
  <c r="RV5" i="1"/>
  <c r="RV4" i="1" s="1"/>
  <c r="RZ5" i="1"/>
  <c r="RZ4" i="1" s="1"/>
  <c r="SD5" i="1"/>
  <c r="SD4" i="1" s="1"/>
  <c r="IE5" i="1"/>
  <c r="IM5" i="1"/>
  <c r="IU5" i="1"/>
  <c r="JC5" i="1"/>
  <c r="JK5" i="1"/>
  <c r="JS5" i="1"/>
  <c r="KA5" i="1"/>
  <c r="KI5" i="1"/>
  <c r="KQ5" i="1"/>
  <c r="KY5" i="1"/>
  <c r="LG5" i="1"/>
  <c r="LO5" i="1"/>
  <c r="LW5" i="1"/>
  <c r="ME5" i="1"/>
  <c r="MI5" i="1"/>
  <c r="MM5" i="1"/>
  <c r="MQ5" i="1"/>
  <c r="MU5" i="1"/>
  <c r="MY5" i="1"/>
  <c r="NC5" i="1"/>
  <c r="NG5" i="1"/>
  <c r="NK5" i="1"/>
  <c r="NO5" i="1"/>
  <c r="NS5" i="1"/>
  <c r="NW5" i="1"/>
  <c r="OA5" i="1"/>
  <c r="OE5" i="1"/>
  <c r="OI5" i="1"/>
  <c r="OM5" i="1"/>
  <c r="OQ5" i="1"/>
  <c r="OU5" i="1"/>
  <c r="OY5" i="1"/>
  <c r="PC5" i="1"/>
  <c r="PG5" i="1"/>
  <c r="PK5" i="1"/>
  <c r="PO5" i="1"/>
  <c r="PS5" i="1"/>
  <c r="PW5" i="1"/>
  <c r="QA5" i="1"/>
  <c r="QE5" i="1"/>
  <c r="QI5" i="1"/>
  <c r="QM5" i="1"/>
  <c r="QQ5" i="1"/>
  <c r="QU5" i="1"/>
  <c r="QY5" i="1"/>
  <c r="RC5" i="1"/>
  <c r="RG5" i="1"/>
  <c r="RK5" i="1"/>
  <c r="RK4" i="1" s="1"/>
  <c r="RO5" i="1"/>
  <c r="RO4" i="1" s="1"/>
  <c r="RS5" i="1"/>
  <c r="RW5" i="1"/>
  <c r="RW4" i="1" s="1"/>
  <c r="SA5" i="1"/>
  <c r="SA4" i="1" s="1"/>
  <c r="HX5" i="1"/>
  <c r="IF5" i="1"/>
  <c r="IN5" i="1"/>
  <c r="IV5" i="1"/>
  <c r="JD5" i="1"/>
  <c r="JL5" i="1"/>
  <c r="JT5" i="1"/>
  <c r="KB5" i="1"/>
  <c r="KJ5" i="1"/>
  <c r="KR5" i="1"/>
  <c r="KZ5" i="1"/>
  <c r="LH5" i="1"/>
  <c r="LP5" i="1"/>
  <c r="LX5" i="1"/>
  <c r="MF5" i="1"/>
  <c r="MJ5" i="1"/>
  <c r="MN5" i="1"/>
  <c r="MR5" i="1"/>
  <c r="MV5" i="1"/>
  <c r="MZ5" i="1"/>
  <c r="ND5" i="1"/>
  <c r="NH5" i="1"/>
  <c r="NL5" i="1"/>
  <c r="NP5" i="1"/>
  <c r="NT5" i="1"/>
  <c r="NX5" i="1"/>
  <c r="OB5" i="1"/>
  <c r="OF5" i="1"/>
  <c r="OJ5" i="1"/>
  <c r="ON5" i="1"/>
  <c r="OR5" i="1"/>
  <c r="OV5" i="1"/>
  <c r="OZ5" i="1"/>
  <c r="PD5" i="1"/>
  <c r="PH5" i="1"/>
  <c r="PL5" i="1"/>
  <c r="PP5" i="1"/>
  <c r="PT5" i="1"/>
  <c r="PX5" i="1"/>
  <c r="QB5" i="1"/>
  <c r="QF5" i="1"/>
  <c r="QJ5" i="1"/>
  <c r="QN5" i="1"/>
  <c r="QR5" i="1"/>
  <c r="QV5" i="1"/>
  <c r="QZ5" i="1"/>
  <c r="RD5" i="1"/>
  <c r="RH5" i="1"/>
  <c r="RL5" i="1"/>
  <c r="RL4" i="1" s="1"/>
  <c r="RP5" i="1"/>
  <c r="RT5" i="1"/>
  <c r="RT4" i="1" s="1"/>
  <c r="RX5" i="1"/>
  <c r="RX4" i="1" s="1"/>
  <c r="SB5" i="1"/>
  <c r="SB4" i="1" s="1"/>
  <c r="IA5" i="1"/>
  <c r="II5" i="1"/>
  <c r="IQ5" i="1"/>
  <c r="IY5" i="1"/>
  <c r="JG5" i="1"/>
  <c r="JO5" i="1"/>
  <c r="JW5" i="1"/>
  <c r="KE5" i="1"/>
  <c r="KM5" i="1"/>
  <c r="KU5" i="1"/>
  <c r="LC5" i="1"/>
  <c r="LK5" i="1"/>
  <c r="LS5" i="1"/>
  <c r="MA5" i="1"/>
  <c r="MG5" i="1"/>
  <c r="MK5" i="1"/>
  <c r="MO5" i="1"/>
  <c r="MS5" i="1"/>
  <c r="MW5" i="1"/>
  <c r="NA5" i="1"/>
  <c r="NE5" i="1"/>
  <c r="NI5" i="1"/>
  <c r="NM5" i="1"/>
  <c r="NQ5" i="1"/>
  <c r="NU5" i="1"/>
  <c r="NY5" i="1"/>
  <c r="OC5" i="1"/>
  <c r="OG5" i="1"/>
  <c r="OK5" i="1"/>
  <c r="OO5" i="1"/>
  <c r="OS5" i="1"/>
  <c r="OW5" i="1"/>
  <c r="PA5" i="1"/>
  <c r="PE5" i="1"/>
  <c r="PI5" i="1"/>
  <c r="PM5" i="1"/>
  <c r="PQ5" i="1"/>
  <c r="PU5" i="1"/>
  <c r="PY5" i="1"/>
  <c r="QC5" i="1"/>
  <c r="QG5" i="1"/>
  <c r="QK5" i="1"/>
  <c r="QO5" i="1"/>
  <c r="QS5" i="1"/>
  <c r="QW5" i="1"/>
  <c r="RA5" i="1"/>
  <c r="RE5" i="1"/>
  <c r="RI5" i="1"/>
  <c r="RM5" i="1"/>
  <c r="RM4" i="1" s="1"/>
  <c r="RQ5" i="1"/>
  <c r="RQ4" i="1" s="1"/>
  <c r="RU5" i="1"/>
  <c r="RY5" i="1"/>
  <c r="RY4" i="1" s="1"/>
  <c r="SC5" i="1"/>
  <c r="SC4" i="1" s="1"/>
  <c r="HD5" i="1"/>
  <c r="GF5" i="1"/>
  <c r="GQ5" i="1"/>
  <c r="HF5" i="1"/>
  <c r="GX5" i="1"/>
  <c r="GP5" i="1"/>
  <c r="GH5" i="1"/>
  <c r="FZ5" i="1"/>
  <c r="FR5" i="1"/>
  <c r="FJ5" i="1"/>
  <c r="FB5" i="1"/>
  <c r="ET5" i="1"/>
  <c r="EL5" i="1"/>
  <c r="ED5" i="1"/>
  <c r="DV5" i="1"/>
  <c r="DN5" i="1"/>
  <c r="DF5" i="1"/>
  <c r="CX5" i="1"/>
  <c r="CP5" i="1"/>
  <c r="CH5" i="1"/>
  <c r="BZ5" i="1"/>
  <c r="BR5" i="1"/>
  <c r="BJ5" i="1"/>
  <c r="BB5" i="1"/>
  <c r="AT5" i="1"/>
  <c r="AL5" i="1"/>
  <c r="AD5" i="1"/>
  <c r="V5" i="1"/>
  <c r="HT5" i="1"/>
  <c r="HH5" i="1"/>
  <c r="GB5" i="1"/>
  <c r="FS5" i="1"/>
  <c r="HI5" i="1"/>
  <c r="HA5" i="1"/>
  <c r="GS5" i="1"/>
  <c r="GK5" i="1"/>
  <c r="GC5" i="1"/>
  <c r="FU5" i="1"/>
  <c r="FM5" i="1"/>
  <c r="FE5" i="1"/>
  <c r="EW5" i="1"/>
  <c r="EO5" i="1"/>
  <c r="EG5" i="1"/>
  <c r="DY5" i="1"/>
  <c r="DQ5" i="1"/>
  <c r="DI5" i="1"/>
  <c r="DA5" i="1"/>
  <c r="CS5" i="1"/>
  <c r="CK5" i="1"/>
  <c r="CC5" i="1"/>
  <c r="BU5" i="1"/>
  <c r="BM5" i="1"/>
  <c r="BE5" i="1"/>
  <c r="AW5" i="1"/>
  <c r="AO5" i="1"/>
  <c r="AG5" i="1"/>
  <c r="Y5" i="1"/>
  <c r="Q5" i="1"/>
  <c r="GN5" i="1"/>
  <c r="FT5" i="1"/>
  <c r="FL5" i="1"/>
  <c r="FD5" i="1"/>
  <c r="EV5" i="1"/>
  <c r="EN5" i="1"/>
  <c r="EF5" i="1"/>
  <c r="DX5" i="1"/>
  <c r="DP5" i="1"/>
  <c r="DH5" i="1"/>
  <c r="CZ5" i="1"/>
  <c r="CR5" i="1"/>
  <c r="CJ5" i="1"/>
  <c r="CB5" i="1"/>
  <c r="BT5" i="1"/>
  <c r="BL5" i="1"/>
  <c r="BD5" i="1"/>
  <c r="AV5" i="1"/>
  <c r="AN5" i="1"/>
  <c r="AF5" i="1"/>
  <c r="X5" i="1"/>
  <c r="HV5" i="1"/>
  <c r="HN5" i="1"/>
  <c r="GZ5" i="1"/>
  <c r="EM5" i="1"/>
  <c r="AY5" i="1"/>
  <c r="AQ5" i="1"/>
  <c r="AI5" i="1"/>
  <c r="AA5" i="1"/>
  <c r="S5" i="1"/>
  <c r="HQ5" i="1"/>
  <c r="GU5" i="1"/>
  <c r="EQ5" i="1"/>
  <c r="HK5" i="1"/>
  <c r="FO5" i="1"/>
  <c r="EA5" i="1"/>
  <c r="DS5" i="1"/>
  <c r="DK5" i="1"/>
  <c r="DC5" i="1"/>
  <c r="CU5" i="1"/>
  <c r="CM5" i="1"/>
  <c r="CE5" i="1"/>
  <c r="BW5" i="1"/>
  <c r="BO5" i="1"/>
  <c r="BG5" i="1"/>
  <c r="FW5" i="1"/>
  <c r="EY5" i="1"/>
  <c r="EI5" i="1"/>
  <c r="HS5" i="1"/>
  <c r="GM5" i="1"/>
  <c r="GR5" i="1"/>
  <c r="GI5" i="1"/>
  <c r="FK5" i="1"/>
  <c r="EU5" i="1"/>
  <c r="HJ5" i="1"/>
  <c r="HB5" i="1"/>
  <c r="GT5" i="1"/>
  <c r="GL5" i="1"/>
  <c r="GD5" i="1"/>
  <c r="FV5" i="1"/>
  <c r="FN5" i="1"/>
  <c r="FF5" i="1"/>
  <c r="EX5" i="1"/>
  <c r="EP5" i="1"/>
  <c r="EH5" i="1"/>
  <c r="DZ5" i="1"/>
  <c r="DR5" i="1"/>
  <c r="DJ5" i="1"/>
  <c r="DB5" i="1"/>
  <c r="CT5" i="1"/>
  <c r="CL5" i="1"/>
  <c r="CD5" i="1"/>
  <c r="BV5" i="1"/>
  <c r="BN5" i="1"/>
  <c r="BF5" i="1"/>
  <c r="AX5" i="1"/>
  <c r="AP5" i="1"/>
  <c r="AH5" i="1"/>
  <c r="Z5" i="1"/>
  <c r="R5" i="1"/>
  <c r="HP5" i="1"/>
  <c r="GV5" i="1"/>
  <c r="HG5" i="1"/>
  <c r="HM5" i="1"/>
  <c r="HE5" i="1"/>
  <c r="GW5" i="1"/>
  <c r="GO5" i="1"/>
  <c r="GG5" i="1"/>
  <c r="FY5" i="1"/>
  <c r="FQ5" i="1"/>
  <c r="FI5" i="1"/>
  <c r="FA5" i="1"/>
  <c r="ES5" i="1"/>
  <c r="EK5" i="1"/>
  <c r="EC5" i="1"/>
  <c r="DU5" i="1"/>
  <c r="DM5" i="1"/>
  <c r="DE5" i="1"/>
  <c r="CW5" i="1"/>
  <c r="CO5" i="1"/>
  <c r="CG5" i="1"/>
  <c r="BY5" i="1"/>
  <c r="BQ5" i="1"/>
  <c r="BI5" i="1"/>
  <c r="BA5" i="1"/>
  <c r="AS5" i="1"/>
  <c r="AK5" i="1"/>
  <c r="AC5" i="1"/>
  <c r="U5" i="1"/>
  <c r="HW5" i="1"/>
  <c r="HO5" i="1"/>
  <c r="FX5" i="1"/>
  <c r="FP5" i="1"/>
  <c r="FH5" i="1"/>
  <c r="EZ5" i="1"/>
  <c r="ER5" i="1"/>
  <c r="EJ5" i="1"/>
  <c r="EB5" i="1"/>
  <c r="DT5" i="1"/>
  <c r="DL5" i="1"/>
  <c r="DD5" i="1"/>
  <c r="CV5" i="1"/>
  <c r="CN5" i="1"/>
  <c r="CF5" i="1"/>
  <c r="BX5" i="1"/>
  <c r="BP5" i="1"/>
  <c r="BH5" i="1"/>
  <c r="AZ5" i="1"/>
  <c r="AR5" i="1"/>
  <c r="AJ5" i="1"/>
  <c r="AB5" i="1"/>
  <c r="T5" i="1"/>
  <c r="HR5" i="1"/>
  <c r="HL5" i="1"/>
  <c r="GJ5" i="1"/>
  <c r="GY5" i="1"/>
  <c r="GA5" i="1"/>
  <c r="FC5" i="1"/>
  <c r="EE5" i="1"/>
  <c r="DW5" i="1"/>
  <c r="DO5" i="1"/>
  <c r="DG5" i="1"/>
  <c r="CY5" i="1"/>
  <c r="CQ5" i="1"/>
  <c r="CI5" i="1"/>
  <c r="CA5" i="1"/>
  <c r="BS5" i="1"/>
  <c r="BK5" i="1"/>
  <c r="BC5" i="1"/>
  <c r="AU5" i="1"/>
  <c r="AM5" i="1"/>
  <c r="AE5" i="1"/>
  <c r="W5" i="1"/>
  <c r="HU5" i="1"/>
  <c r="GE5" i="1"/>
  <c r="FG5" i="1"/>
  <c r="HC5" i="1"/>
  <c r="L5" i="1"/>
  <c r="G5" i="1"/>
  <c r="RU4" i="1"/>
  <c r="RP4" i="1"/>
  <c r="RS4" i="1"/>
  <c r="D38" i="1"/>
  <c r="E38" i="1" s="1"/>
  <c r="C36" i="1"/>
  <c r="B36" i="1"/>
  <c r="E37" i="1"/>
  <c r="F38" i="1" l="1"/>
  <c r="G38" i="1" s="1"/>
  <c r="D37" i="1"/>
  <c r="D36" i="1" l="1"/>
  <c r="E36" i="1"/>
  <c r="H38" i="1"/>
  <c r="F36" i="1"/>
  <c r="G36" i="1"/>
  <c r="I38" i="1" l="1"/>
  <c r="H36" i="1"/>
  <c r="J38" i="1" l="1"/>
  <c r="I36" i="1"/>
  <c r="K38" i="1" l="1"/>
  <c r="J36" i="1"/>
  <c r="L38" i="1" l="1"/>
  <c r="K36" i="1"/>
  <c r="M38" i="1" l="1"/>
  <c r="L36" i="1"/>
  <c r="N38" i="1" l="1"/>
  <c r="M36" i="1"/>
  <c r="O38" i="1" l="1"/>
  <c r="N36" i="1"/>
  <c r="P38" i="1" l="1"/>
  <c r="O36" i="1"/>
  <c r="Q38" i="1" l="1"/>
  <c r="P36" i="1"/>
  <c r="R38" i="1" l="1"/>
  <c r="Q36" i="1"/>
  <c r="S38" i="1" l="1"/>
  <c r="T38" i="1" s="1"/>
  <c r="U38" i="1" s="1"/>
  <c r="V38" i="1" s="1"/>
  <c r="W38" i="1" s="1"/>
  <c r="X38" i="1" s="1"/>
  <c r="Y38" i="1" s="1"/>
  <c r="Z38" i="1" s="1"/>
  <c r="AA38" i="1" s="1"/>
  <c r="AB38" i="1" s="1"/>
  <c r="AC38" i="1" s="1"/>
  <c r="AD38" i="1" s="1"/>
  <c r="AE38" i="1" s="1"/>
  <c r="Z36" i="1"/>
  <c r="V36" i="1"/>
  <c r="AC36" i="1"/>
  <c r="T36" i="1"/>
  <c r="R36" i="1"/>
  <c r="U36" i="1"/>
  <c r="X36" i="1"/>
  <c r="S36" i="1"/>
  <c r="Y36" i="1"/>
  <c r="W36" i="1"/>
  <c r="AA36" i="1"/>
  <c r="AE36" i="1"/>
  <c r="AD36" i="1"/>
  <c r="AB36" i="1"/>
  <c r="A36" i="1" l="1"/>
</calcChain>
</file>

<file path=xl/sharedStrings.xml><?xml version="1.0" encoding="utf-8"?>
<sst xmlns="http://schemas.openxmlformats.org/spreadsheetml/2006/main" count="100" uniqueCount="75">
  <si>
    <t>江苏快3开奖：</t>
  </si>
  <si>
    <t>玩家数：</t>
  </si>
  <si>
    <t>序</t>
  </si>
  <si>
    <t>玩家</t>
  </si>
  <si>
    <t>张三</t>
  </si>
  <si>
    <t>李四</t>
  </si>
  <si>
    <t>王二麻</t>
  </si>
  <si>
    <t>新余额</t>
  </si>
  <si>
    <t>原余额</t>
  </si>
  <si>
    <t>本期账</t>
  </si>
  <si>
    <t>下注额</t>
  </si>
  <si>
    <t>大</t>
  </si>
  <si>
    <t>小</t>
  </si>
  <si>
    <t>单</t>
  </si>
  <si>
    <t>双</t>
  </si>
  <si>
    <t>对1</t>
  </si>
  <si>
    <t>对2</t>
  </si>
  <si>
    <t>对3</t>
  </si>
  <si>
    <t>对4</t>
  </si>
  <si>
    <t>对5</t>
  </si>
  <si>
    <t>对6</t>
  </si>
  <si>
    <t>豹1</t>
  </si>
  <si>
    <t>豹2</t>
  </si>
  <si>
    <t>豹3</t>
  </si>
  <si>
    <t>豹4</t>
  </si>
  <si>
    <t>豹5</t>
  </si>
  <si>
    <t>豹6</t>
  </si>
  <si>
    <t>和值1</t>
  </si>
  <si>
    <t>金额1</t>
  </si>
  <si>
    <t>和值2</t>
  </si>
  <si>
    <t>金额2</t>
  </si>
  <si>
    <t>和值3</t>
  </si>
  <si>
    <t>金额3</t>
  </si>
  <si>
    <t>和值4</t>
  </si>
  <si>
    <t>金额4</t>
  </si>
  <si>
    <t>和值5</t>
  </si>
  <si>
    <t>金额5</t>
  </si>
  <si>
    <t>报网明细</t>
  </si>
  <si>
    <t>大小</t>
  </si>
  <si>
    <t>单双</t>
  </si>
  <si>
    <t>行号</t>
  </si>
  <si>
    <t>赔率设置</t>
  </si>
  <si>
    <t>项目</t>
  </si>
  <si>
    <t>赔率</t>
  </si>
  <si>
    <t>大小单双</t>
  </si>
  <si>
    <t>对子</t>
  </si>
  <si>
    <t>豹子</t>
  </si>
  <si>
    <t>点数4</t>
  </si>
  <si>
    <t>点数5</t>
  </si>
  <si>
    <t>点数6</t>
  </si>
  <si>
    <t>点数7</t>
  </si>
  <si>
    <t>点数8</t>
  </si>
  <si>
    <t>点数9</t>
  </si>
  <si>
    <t>点数10</t>
  </si>
  <si>
    <t>点数11</t>
  </si>
  <si>
    <t>点数12</t>
  </si>
  <si>
    <t>点数13</t>
  </si>
  <si>
    <t>点数14</t>
  </si>
  <si>
    <t>点数15</t>
  </si>
  <si>
    <t>点数16</t>
  </si>
  <si>
    <t>点数17</t>
  </si>
  <si>
    <t>期数</t>
    <phoneticPr fontId="9" type="noConversion"/>
  </si>
  <si>
    <t>结果</t>
    <phoneticPr fontId="9" type="noConversion"/>
  </si>
  <si>
    <t>时间</t>
    <phoneticPr fontId="9" type="noConversion"/>
  </si>
  <si>
    <t>总账</t>
    <phoneticPr fontId="9" type="noConversion"/>
  </si>
  <si>
    <t>合计</t>
    <phoneticPr fontId="9" type="noConversion"/>
  </si>
  <si>
    <t>王二麻</t>
    <phoneticPr fontId="9" type="noConversion"/>
  </si>
  <si>
    <t>重复</t>
    <phoneticPr fontId="9" type="noConversion"/>
  </si>
  <si>
    <t>原余额</t>
    <phoneticPr fontId="9" type="noConversion"/>
  </si>
  <si>
    <t>新余额</t>
    <phoneticPr fontId="9" type="noConversion"/>
  </si>
  <si>
    <t>功能设定区</t>
  </si>
  <si>
    <t>余额小数</t>
  </si>
  <si>
    <t>是</t>
  </si>
  <si>
    <t>福利小数</t>
  </si>
  <si>
    <t>开奖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</si>
</sst>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5" x14ac:knownFonts="1">
    <font>
      <sz val="11"/>
      <color theme="1"/>
      <name val="宋体"/>
      <charset val="134"/>
      <scheme val="minor"/>
    </font>
    <font>
      <b/>
      <sz val="16"/>
      <color theme="1"/>
      <name val="黑体"/>
      <family val="3"/>
      <charset val="134"/>
    </font>
    <font>
      <sz val="10"/>
      <color theme="1"/>
      <name val="宋体"/>
      <family val="3"/>
      <charset val="134"/>
    </font>
    <font>
      <sz val="26"/>
      <color theme="1"/>
      <name val="黑体"/>
      <family val="3"/>
      <charset val="134"/>
    </font>
    <font>
      <sz val="10"/>
      <color theme="1"/>
      <name val="黑体"/>
      <family val="3"/>
      <charset val="134"/>
    </font>
    <font>
      <b/>
      <sz val="24"/>
      <color theme="1"/>
      <name val="黑体"/>
      <family val="3"/>
      <charset val="134"/>
    </font>
    <font>
      <sz val="22"/>
      <color theme="1"/>
      <name val="黑体"/>
      <family val="3"/>
      <charset val="134"/>
    </font>
    <font>
      <sz val="20"/>
      <color theme="1"/>
      <name val="黑体"/>
      <family val="3"/>
      <charset val="134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4"/>
      <color rgb="FF000000"/>
      <name val="黑体"/>
      <family val="3"/>
      <charset val="134"/>
    </font>
    <font>
      <sz val="20"/>
      <color rgb="FF000000"/>
      <name val="黑体"/>
      <family val="3"/>
      <charset val="134"/>
    </font>
    <font>
      <sz val="11"/>
      <color rgb="FFFF0000"/>
      <name val="宋体"/>
      <family val="3"/>
      <charset val="134"/>
      <scheme val="minor"/>
    </font>
    <font>
      <sz val="11"/>
      <color rgb="FF000000"/>
      <name val="黑体"/>
      <family val="3"/>
      <charset val="134"/>
    </font>
    <font>
      <sz val="10"/>
      <name val="宋体"/>
      <family val="3"/>
      <charset val="134"/>
      <scheme val="minor"/>
    </font>
  </fonts>
  <fills count="24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52DAE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00FF00"/>
        <bgColor indexed="64"/>
      </patternFill>
    </fill>
  </fills>
  <borders count="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67">
    <xf numFmtId="0" fontId="0" fillId="0" borderId="0" xfId="0">
      <alignment vertical="center"/>
    </xf>
    <xf numFmtId="0" fontId="2" fillId="3" borderId="1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0" fontId="0" fillId="6" borderId="1" xfId="0" applyFill="1" applyBorder="1">
      <alignment vertical="center"/>
    </xf>
    <xf numFmtId="0" fontId="0" fillId="7" borderId="1" xfId="0" applyFill="1" applyBorder="1">
      <alignment vertical="center"/>
    </xf>
    <xf numFmtId="0" fontId="0" fillId="8" borderId="1" xfId="0" applyFill="1" applyBorder="1">
      <alignment vertical="center"/>
    </xf>
    <xf numFmtId="0" fontId="0" fillId="9" borderId="1" xfId="0" applyFill="1" applyBorder="1">
      <alignment vertical="center"/>
    </xf>
    <xf numFmtId="0" fontId="0" fillId="10" borderId="1" xfId="0" applyFill="1" applyBorder="1">
      <alignment vertical="center"/>
    </xf>
    <xf numFmtId="0" fontId="0" fillId="12" borderId="4" xfId="0" applyFill="1" applyBorder="1">
      <alignment vertical="center"/>
    </xf>
    <xf numFmtId="0" fontId="2" fillId="14" borderId="1" xfId="0" applyFont="1" applyFill="1" applyBorder="1" applyAlignment="1">
      <alignment horizontal="center" vertical="center"/>
    </xf>
    <xf numFmtId="0" fontId="2" fillId="15" borderId="1" xfId="0" applyFont="1" applyFill="1" applyBorder="1" applyAlignment="1">
      <alignment horizontal="center" vertical="center"/>
    </xf>
    <xf numFmtId="0" fontId="2" fillId="16" borderId="1" xfId="0" applyFont="1" applyFill="1" applyBorder="1" applyAlignment="1">
      <alignment horizontal="center" vertical="center"/>
    </xf>
    <xf numFmtId="0" fontId="0" fillId="17" borderId="1" xfId="0" applyFill="1" applyBorder="1">
      <alignment vertical="center"/>
    </xf>
    <xf numFmtId="0" fontId="2" fillId="16" borderId="5" xfId="0" applyFont="1" applyFill="1" applyBorder="1" applyAlignment="1">
      <alignment horizontal="center" vertical="center"/>
    </xf>
    <xf numFmtId="0" fontId="0" fillId="9" borderId="5" xfId="0" applyFill="1" applyBorder="1">
      <alignment vertical="center"/>
    </xf>
    <xf numFmtId="0" fontId="0" fillId="18" borderId="1" xfId="0" applyFill="1" applyBorder="1">
      <alignment vertical="center"/>
    </xf>
    <xf numFmtId="0" fontId="5" fillId="2" borderId="3" xfId="0" applyFont="1" applyFill="1" applyBorder="1" applyAlignment="1">
      <alignment horizontal="center" vertical="center"/>
    </xf>
    <xf numFmtId="0" fontId="5" fillId="2" borderId="6" xfId="0" applyFont="1" applyFill="1" applyBorder="1" applyAlignment="1">
      <alignment horizontal="center" vertical="center"/>
    </xf>
    <xf numFmtId="0" fontId="7" fillId="0" borderId="0" xfId="0" applyFont="1">
      <alignment vertical="center"/>
    </xf>
    <xf numFmtId="0" fontId="0" fillId="19" borderId="1" xfId="0" applyFill="1" applyBorder="1">
      <alignment vertical="center"/>
    </xf>
    <xf numFmtId="0" fontId="0" fillId="12" borderId="1" xfId="0" applyFill="1" applyBorder="1">
      <alignment vertical="center"/>
    </xf>
    <xf numFmtId="0" fontId="0" fillId="2" borderId="1" xfId="0" applyFill="1" applyBorder="1">
      <alignment vertical="center"/>
    </xf>
    <xf numFmtId="0" fontId="8" fillId="18" borderId="1" xfId="0" applyFont="1" applyFill="1" applyBorder="1">
      <alignment vertical="center"/>
    </xf>
    <xf numFmtId="0" fontId="0" fillId="15" borderId="1" xfId="0" applyFill="1" applyBorder="1">
      <alignment vertical="center"/>
    </xf>
    <xf numFmtId="0" fontId="0" fillId="3" borderId="1" xfId="0" applyFill="1" applyBorder="1">
      <alignment vertical="center"/>
    </xf>
    <xf numFmtId="0" fontId="0" fillId="20" borderId="1" xfId="0" applyFill="1" applyBorder="1">
      <alignment vertical="center"/>
    </xf>
    <xf numFmtId="0" fontId="0" fillId="16" borderId="1" xfId="0" applyFill="1" applyBorder="1">
      <alignment vertical="center"/>
    </xf>
    <xf numFmtId="0" fontId="8" fillId="16" borderId="1" xfId="0" applyFont="1" applyFill="1" applyBorder="1">
      <alignment vertical="center"/>
    </xf>
    <xf numFmtId="0" fontId="8" fillId="0" borderId="0" xfId="0" applyFont="1">
      <alignment vertical="center"/>
    </xf>
    <xf numFmtId="0" fontId="14" fillId="22" borderId="1" xfId="0" applyNumberFormat="1" applyFont="1" applyFill="1" applyBorder="1" applyAlignment="1" applyProtection="1">
      <alignment horizontal="center" vertical="center"/>
    </xf>
    <xf numFmtId="0" fontId="14" fillId="23" borderId="1" xfId="0" applyNumberFormat="1" applyFont="1" applyFill="1" applyBorder="1" applyAlignment="1" applyProtection="1">
      <alignment horizontal="center" vertical="center"/>
      <protection locked="0"/>
    </xf>
    <xf numFmtId="0" fontId="14" fillId="12" borderId="1" xfId="0" applyFont="1" applyFill="1" applyBorder="1" applyAlignment="1" applyProtection="1">
      <alignment horizontal="center" vertical="center"/>
    </xf>
    <xf numFmtId="0" fontId="8" fillId="7" borderId="1" xfId="0" applyFont="1" applyFill="1" applyBorder="1">
      <alignment vertical="center"/>
    </xf>
    <xf numFmtId="20" fontId="0" fillId="16" borderId="1" xfId="0" applyNumberFormat="1" applyFill="1" applyBorder="1">
      <alignment vertical="center"/>
    </xf>
    <xf numFmtId="0" fontId="0" fillId="8" borderId="1" xfId="0" applyFill="1" applyBorder="1" applyProtection="1">
      <alignment vertical="center"/>
      <protection locked="0"/>
    </xf>
    <xf numFmtId="0" fontId="0" fillId="9" borderId="1" xfId="0" applyFill="1" applyBorder="1" applyProtection="1">
      <alignment vertical="center"/>
      <protection locked="0"/>
    </xf>
    <xf numFmtId="0" fontId="12" fillId="9" borderId="1" xfId="0" applyFont="1" applyFill="1" applyBorder="1" applyProtection="1">
      <alignment vertical="center"/>
      <protection locked="0"/>
    </xf>
    <xf numFmtId="0" fontId="0" fillId="7" borderId="1" xfId="0" applyFill="1" applyBorder="1" applyProtection="1">
      <alignment vertical="center"/>
      <protection locked="0"/>
    </xf>
    <xf numFmtId="0" fontId="0" fillId="10" borderId="1" xfId="0" applyFill="1" applyBorder="1" applyProtection="1">
      <alignment vertical="center"/>
      <protection locked="0"/>
    </xf>
    <xf numFmtId="0" fontId="8" fillId="12" borderId="4" xfId="0" applyFont="1" applyFill="1" applyBorder="1" applyProtection="1">
      <alignment vertical="center"/>
      <protection locked="0"/>
    </xf>
    <xf numFmtId="0" fontId="0" fillId="12" borderId="4" xfId="0" applyFill="1" applyBorder="1" applyProtection="1">
      <alignment vertical="center"/>
      <protection locked="0"/>
    </xf>
    <xf numFmtId="0" fontId="0" fillId="12" borderId="7" xfId="0" applyFill="1" applyBorder="1" applyProtection="1">
      <alignment vertical="center"/>
      <protection locked="0"/>
    </xf>
    <xf numFmtId="0" fontId="0" fillId="6" borderId="1" xfId="0" applyFill="1" applyBorder="1" applyProtection="1">
      <alignment vertical="center"/>
      <protection locked="0"/>
    </xf>
    <xf numFmtId="0" fontId="2" fillId="14" borderId="1" xfId="0" applyFont="1" applyFill="1" applyBorder="1" applyAlignment="1" applyProtection="1">
      <alignment horizontal="center" vertical="center"/>
      <protection locked="0"/>
    </xf>
    <xf numFmtId="0" fontId="8" fillId="7" borderId="1" xfId="0" applyFont="1" applyFill="1" applyBorder="1" applyProtection="1">
      <alignment vertical="center"/>
      <protection locked="0"/>
    </xf>
    <xf numFmtId="0" fontId="2" fillId="15" borderId="1" xfId="0" applyFont="1" applyFill="1" applyBorder="1" applyAlignment="1" applyProtection="1">
      <alignment horizontal="center" vertical="center"/>
      <protection locked="0"/>
    </xf>
    <xf numFmtId="0" fontId="2" fillId="16" borderId="1" xfId="0" applyFont="1" applyFill="1" applyBorder="1" applyAlignment="1" applyProtection="1">
      <alignment horizontal="center" vertical="center"/>
      <protection locked="0"/>
    </xf>
    <xf numFmtId="0" fontId="2" fillId="12" borderId="1" xfId="0" applyFont="1" applyFill="1" applyBorder="1" applyAlignment="1" applyProtection="1">
      <alignment horizontal="center" vertical="center"/>
      <protection locked="0"/>
    </xf>
    <xf numFmtId="0" fontId="2" fillId="14" borderId="1" xfId="0" applyFont="1" applyFill="1" applyBorder="1" applyAlignment="1" applyProtection="1">
      <alignment horizontal="center" vertical="center"/>
    </xf>
    <xf numFmtId="0" fontId="8" fillId="7" borderId="1" xfId="0" applyFont="1" applyFill="1" applyBorder="1" applyProtection="1">
      <alignment vertical="center"/>
    </xf>
    <xf numFmtId="0" fontId="0" fillId="7" borderId="1" xfId="0" applyFill="1" applyBorder="1" applyProtection="1">
      <alignment vertical="center"/>
    </xf>
    <xf numFmtId="0" fontId="0" fillId="13" borderId="1" xfId="0" applyFill="1" applyBorder="1" applyProtection="1">
      <alignment vertical="center"/>
      <protection locked="0"/>
    </xf>
    <xf numFmtId="0" fontId="8" fillId="13" borderId="1" xfId="0" applyFont="1" applyFill="1" applyBorder="1" applyProtection="1">
      <alignment vertical="center"/>
      <protection locked="0"/>
    </xf>
    <xf numFmtId="0" fontId="3" fillId="11" borderId="2" xfId="0" applyFont="1" applyFill="1" applyBorder="1" applyAlignment="1">
      <alignment horizontal="center" vertical="center"/>
    </xf>
    <xf numFmtId="0" fontId="4" fillId="11" borderId="3" xfId="0" applyFont="1" applyFill="1" applyBorder="1" applyAlignment="1">
      <alignment horizontal="center" vertical="center"/>
    </xf>
    <xf numFmtId="0" fontId="6" fillId="17" borderId="1" xfId="0" applyFont="1" applyFill="1" applyBorder="1" applyAlignment="1">
      <alignment horizontal="center" vertical="center"/>
    </xf>
    <xf numFmtId="0" fontId="0" fillId="17" borderId="1" xfId="0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15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16" borderId="1" xfId="0" applyFill="1" applyBorder="1" applyAlignment="1">
      <alignment horizontal="center" vertical="center"/>
    </xf>
    <xf numFmtId="0" fontId="8" fillId="16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4" fillId="21" borderId="1" xfId="0" applyNumberFormat="1" applyFont="1" applyFill="1" applyBorder="1" applyAlignment="1" applyProtection="1">
      <alignment horizontal="center" vertical="center"/>
    </xf>
    <xf numFmtId="0" fontId="14" fillId="21" borderId="8" xfId="0" applyFont="1" applyFill="1" applyBorder="1" applyAlignment="1" applyProtection="1">
      <alignment horizontal="center" vertical="center"/>
    </xf>
    <xf numFmtId="0" fontId="14" fillId="21" borderId="5" xfId="0" applyFont="1" applyFill="1" applyBorder="1" applyAlignment="1" applyProtection="1">
      <alignment horizontal="center" vertical="center"/>
    </xf>
  </cellXfs>
  <cellStyles count="1">
    <cellStyle name="常规" xfId="0" builtinId="0"/>
  </cellStyles>
  <dxfs count="7">
    <dxf>
      <font>
        <color theme="9" tint="-0.24994659260841701"/>
      </font>
    </dxf>
    <dxf>
      <font>
        <b/>
        <i val="0"/>
        <color rgb="FFFF0000"/>
      </font>
    </dxf>
    <dxf>
      <font>
        <b/>
        <i val="0"/>
        <color theme="3" tint="-0.499984740745262"/>
      </font>
    </dxf>
    <dxf>
      <font>
        <b val="0"/>
        <i val="0"/>
        <color theme="1"/>
      </font>
    </dxf>
    <dxf>
      <font>
        <b/>
        <i val="0"/>
        <color theme="4" tint="-0.499984740745262"/>
      </font>
    </dxf>
    <dxf>
      <font>
        <b/>
        <i val="0"/>
        <color rgb="FFFF0000"/>
      </font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6F882"/>
      <color rgb="FF52DAE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586740</xdr:colOff>
          <xdr:row>0</xdr:row>
          <xdr:rowOff>7620</xdr:rowOff>
        </xdr:from>
        <xdr:to>
          <xdr:col>16</xdr:col>
          <xdr:colOff>53340</xdr:colOff>
          <xdr:row>1</xdr:row>
          <xdr:rowOff>7620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黑体"/>
                  <a:ea typeface="黑体"/>
                </a:rPr>
                <a:t>清空下注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601980</xdr:colOff>
          <xdr:row>0</xdr:row>
          <xdr:rowOff>7620</xdr:rowOff>
        </xdr:from>
        <xdr:to>
          <xdr:col>12</xdr:col>
          <xdr:colOff>579120</xdr:colOff>
          <xdr:row>1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zh-CN" altLang="en-US" sz="2000" b="0" i="0" u="none" strike="noStrike" baseline="0">
                  <a:solidFill>
                    <a:srgbClr val="000000"/>
                  </a:solidFill>
                  <a:latin typeface="黑体"/>
                  <a:ea typeface="黑体"/>
                </a:rPr>
                <a:t>截图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7620</xdr:rowOff>
        </xdr:from>
        <xdr:to>
          <xdr:col>1</xdr:col>
          <xdr:colOff>0</xdr:colOff>
          <xdr:row>3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黑体"/>
                  <a:ea typeface="黑体"/>
                </a:rPr>
                <a:t>清空单行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2</xdr:row>
          <xdr:rowOff>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黑体"/>
                  <a:ea typeface="黑体"/>
                </a:rPr>
                <a:t>清空全部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SD44"/>
  <sheetViews>
    <sheetView tabSelected="1" zoomScale="70" zoomScaleNormal="70" workbookViewId="0">
      <selection activeCell="I13" sqref="I13"/>
    </sheetView>
  </sheetViews>
  <sheetFormatPr defaultColWidth="8.88671875" defaultRowHeight="14.4" x14ac:dyDescent="0.25"/>
  <cols>
    <col min="11" max="11" width="8.88671875" customWidth="1"/>
  </cols>
  <sheetData>
    <row r="1" spans="1:498" ht="32.4" x14ac:dyDescent="0.25">
      <c r="A1" s="54" t="s">
        <v>0</v>
      </c>
      <c r="B1" s="55"/>
      <c r="C1" s="55"/>
      <c r="D1" s="55"/>
      <c r="E1" s="55"/>
      <c r="F1" s="55"/>
      <c r="G1" s="55"/>
      <c r="H1" s="55"/>
      <c r="I1" s="17">
        <v>1</v>
      </c>
      <c r="J1" s="17">
        <v>1</v>
      </c>
      <c r="K1" s="18">
        <v>1</v>
      </c>
      <c r="N1" s="56"/>
      <c r="O1" s="57"/>
      <c r="P1" s="57"/>
      <c r="R1" s="58" t="s">
        <v>1</v>
      </c>
      <c r="S1" s="58"/>
      <c r="T1" s="19">
        <v>50</v>
      </c>
    </row>
    <row r="2" spans="1:498" x14ac:dyDescent="0.25">
      <c r="A2" s="40" t="s">
        <v>74</v>
      </c>
      <c r="B2" s="41">
        <v>1</v>
      </c>
      <c r="C2" s="41">
        <v>2</v>
      </c>
      <c r="D2" s="41">
        <v>3</v>
      </c>
      <c r="E2" s="41">
        <v>4</v>
      </c>
      <c r="F2" s="41">
        <v>5</v>
      </c>
      <c r="G2" s="41">
        <v>6</v>
      </c>
      <c r="H2" s="41">
        <v>7</v>
      </c>
      <c r="I2" s="41">
        <v>8</v>
      </c>
      <c r="J2" s="41">
        <v>9</v>
      </c>
      <c r="K2" s="41">
        <v>10</v>
      </c>
      <c r="L2" s="41">
        <v>11</v>
      </c>
      <c r="M2" s="41">
        <v>12</v>
      </c>
      <c r="N2" s="42">
        <v>13</v>
      </c>
      <c r="O2" s="42">
        <v>14</v>
      </c>
      <c r="P2" s="42">
        <v>15</v>
      </c>
      <c r="Q2" s="41">
        <v>16</v>
      </c>
      <c r="R2" s="41">
        <v>17</v>
      </c>
      <c r="S2" s="41">
        <v>18</v>
      </c>
      <c r="T2" s="41">
        <v>19</v>
      </c>
      <c r="U2" s="41">
        <v>20</v>
      </c>
      <c r="V2" s="41">
        <v>21</v>
      </c>
      <c r="W2" s="41">
        <v>22</v>
      </c>
      <c r="X2" s="41">
        <v>23</v>
      </c>
      <c r="Y2" s="41">
        <v>24</v>
      </c>
      <c r="Z2" s="41">
        <v>25</v>
      </c>
      <c r="AA2" s="41">
        <v>26</v>
      </c>
      <c r="AB2" s="41">
        <v>27</v>
      </c>
      <c r="AC2" s="41">
        <v>28</v>
      </c>
      <c r="AD2" s="41">
        <v>29</v>
      </c>
      <c r="AE2" s="41">
        <v>30</v>
      </c>
      <c r="AF2" s="41">
        <v>31</v>
      </c>
      <c r="AG2" s="41">
        <v>32</v>
      </c>
      <c r="AH2" s="9">
        <v>33</v>
      </c>
      <c r="AI2" s="9">
        <v>34</v>
      </c>
      <c r="AJ2" s="9">
        <v>35</v>
      </c>
      <c r="AK2" s="9">
        <v>36</v>
      </c>
      <c r="AL2" s="9">
        <v>37</v>
      </c>
      <c r="AM2" s="9">
        <v>38</v>
      </c>
      <c r="AN2" s="9">
        <v>39</v>
      </c>
      <c r="AO2" s="9">
        <v>40</v>
      </c>
      <c r="AP2" s="9">
        <v>41</v>
      </c>
      <c r="AQ2" s="9">
        <v>42</v>
      </c>
      <c r="AR2" s="9">
        <v>43</v>
      </c>
      <c r="AS2" s="9">
        <v>44</v>
      </c>
      <c r="AT2" s="9">
        <v>45</v>
      </c>
      <c r="AU2" s="9">
        <v>46</v>
      </c>
      <c r="AV2" s="9">
        <v>47</v>
      </c>
      <c r="AW2" s="9">
        <v>48</v>
      </c>
      <c r="AX2" s="9">
        <v>49</v>
      </c>
      <c r="AY2" s="9">
        <v>50</v>
      </c>
      <c r="AZ2" s="9">
        <v>51</v>
      </c>
      <c r="BA2" s="9">
        <v>52</v>
      </c>
      <c r="BB2" s="9">
        <v>53</v>
      </c>
      <c r="BC2" s="9">
        <v>54</v>
      </c>
    </row>
    <row r="3" spans="1:498" s="4" customFormat="1" x14ac:dyDescent="0.25">
      <c r="A3" s="52" t="s">
        <v>3</v>
      </c>
      <c r="B3" s="52" t="s">
        <v>4</v>
      </c>
      <c r="C3" s="52" t="s">
        <v>4</v>
      </c>
      <c r="D3" s="52" t="s">
        <v>4</v>
      </c>
      <c r="E3" s="52" t="s">
        <v>4</v>
      </c>
      <c r="F3" s="52" t="s">
        <v>4</v>
      </c>
      <c r="G3" s="52" t="s">
        <v>5</v>
      </c>
      <c r="H3" s="52" t="s">
        <v>5</v>
      </c>
      <c r="I3" s="52" t="s">
        <v>5</v>
      </c>
      <c r="J3" s="52" t="s">
        <v>5</v>
      </c>
      <c r="K3" s="52" t="s">
        <v>5</v>
      </c>
      <c r="L3" s="53" t="s">
        <v>66</v>
      </c>
      <c r="M3" s="53" t="s">
        <v>66</v>
      </c>
      <c r="N3" s="53" t="s">
        <v>66</v>
      </c>
      <c r="O3" s="52" t="s">
        <v>6</v>
      </c>
      <c r="P3" s="52" t="s">
        <v>6</v>
      </c>
      <c r="Q3" s="43">
        <v>111</v>
      </c>
      <c r="R3" s="43">
        <v>111</v>
      </c>
      <c r="S3" s="43">
        <v>111</v>
      </c>
      <c r="T3" s="43">
        <v>222</v>
      </c>
      <c r="U3" s="43">
        <v>333</v>
      </c>
      <c r="V3" s="43"/>
      <c r="W3" s="43"/>
      <c r="X3" s="43"/>
      <c r="Y3" s="43"/>
      <c r="Z3" s="43"/>
      <c r="AA3" s="43"/>
      <c r="AB3" s="43"/>
      <c r="AC3" s="43"/>
      <c r="AD3" s="43"/>
      <c r="AE3" s="43"/>
      <c r="AF3" s="43"/>
      <c r="AG3" s="43"/>
      <c r="AH3" s="43"/>
      <c r="AI3" s="43"/>
      <c r="AJ3" s="43"/>
      <c r="AK3" s="43"/>
      <c r="AL3" s="43"/>
      <c r="AM3" s="43"/>
      <c r="AN3" s="43"/>
      <c r="AO3" s="43"/>
      <c r="AP3" s="43"/>
      <c r="AQ3" s="43"/>
      <c r="AR3" s="43"/>
      <c r="AS3" s="43"/>
      <c r="AT3" s="43"/>
      <c r="AU3" s="43"/>
      <c r="AV3" s="43"/>
      <c r="AW3" s="43"/>
      <c r="AX3" s="43"/>
      <c r="AY3" s="43"/>
      <c r="AZ3" s="43"/>
      <c r="BA3" s="43"/>
      <c r="BB3" s="43"/>
      <c r="BC3" s="43"/>
      <c r="BD3" s="43"/>
      <c r="BE3" s="43"/>
      <c r="BF3" s="43"/>
      <c r="BG3" s="43"/>
      <c r="BH3" s="43"/>
      <c r="BI3" s="43"/>
      <c r="BJ3" s="43"/>
      <c r="BK3" s="43"/>
      <c r="BL3" s="43"/>
      <c r="BM3" s="43"/>
      <c r="BN3" s="43"/>
      <c r="BO3" s="43"/>
      <c r="BP3" s="43"/>
      <c r="BQ3" s="43"/>
      <c r="BR3" s="43"/>
      <c r="BS3" s="43"/>
      <c r="BT3" s="43"/>
      <c r="BU3" s="43"/>
      <c r="BV3" s="43"/>
      <c r="BW3" s="43"/>
    </row>
    <row r="4" spans="1:498" s="5" customFormat="1" x14ac:dyDescent="0.25">
      <c r="A4" s="49" t="s">
        <v>7</v>
      </c>
      <c r="B4" s="50">
        <f>IF(B$42="有","见左",ROUND(SUMIF($B$41:$QL$41,B$41,$B$44:$QL$44),赔率设置!$F$6))</f>
        <v>1017.7</v>
      </c>
      <c r="C4" s="50" t="str">
        <f>IF(C$42="有","见左",ROUND(SUMIF($B$41:$QL$41,C$41,$B$44:$QL$44),赔率设置!$F$6))</f>
        <v>见左</v>
      </c>
      <c r="D4" s="50" t="str">
        <f>IF(D$42="有","见左",ROUND(SUMIF($B$41:$QL$41,D$41,$B$44:$QL$44),赔率设置!$F$6))</f>
        <v>见左</v>
      </c>
      <c r="E4" s="50" t="str">
        <f>IF(E$42="有","见左",ROUND(SUMIF($B$41:$QL$41,E$41,$B$44:$QL$44),赔率设置!$F$6))</f>
        <v>见左</v>
      </c>
      <c r="F4" s="50" t="str">
        <f>IF(F$42="有","见左",ROUND(SUMIF($B$41:$QL$41,F$41,$B$44:$QL$44),赔率设置!$F$6))</f>
        <v>见左</v>
      </c>
      <c r="G4" s="50">
        <f>IF(G$42="有","见左",ROUND(SUMIF($B$41:$QL$41,G$41,$B$44:$QL$44),赔率设置!$F$6))</f>
        <v>1100</v>
      </c>
      <c r="H4" s="50" t="str">
        <f>IF(H$42="有","见左",ROUND(SUMIF($B$41:$QL$41,H$41,$B$44:$QL$44),赔率设置!$F$6))</f>
        <v>见左</v>
      </c>
      <c r="I4" s="50" t="str">
        <f>IF(I$42="有","见左",ROUND(SUMIF($B$41:$QL$41,I$41,$B$44:$QL$44),赔率设置!$F$6))</f>
        <v>见左</v>
      </c>
      <c r="J4" s="50" t="str">
        <f>IF(J$42="有","见左",ROUND(SUMIF($B$41:$QL$41,J$41,$B$44:$QL$44),赔率设置!$F$6))</f>
        <v>见左</v>
      </c>
      <c r="K4" s="50" t="str">
        <f>IF(K$42="有","见左",ROUND(SUMIF($B$41:$QL$41,K$41,$B$44:$QL$44),赔率设置!$F$6))</f>
        <v>见左</v>
      </c>
      <c r="L4" s="50">
        <f>IF(L$42="有","见左",ROUND(SUMIF($B$41:$QL$41,L$41,$B$44:$QL$44),赔率设置!$F$6))</f>
        <v>5050</v>
      </c>
      <c r="M4" s="50" t="str">
        <f>IF(M$42="有","见左",ROUND(SUMIF($B$41:$QL$41,M$41,$B$44:$QL$44),赔率设置!$F$6))</f>
        <v>见左</v>
      </c>
      <c r="N4" s="50" t="str">
        <f>IF(N$42="有","见左",ROUND(SUMIF($B$41:$QL$41,N$41,$B$44:$QL$44),赔率设置!$F$6))</f>
        <v>见左</v>
      </c>
      <c r="O4" s="50" t="str">
        <f>IF(O$42="有","见左",ROUND(SUMIF($B$41:$QL$41,O$41,$B$44:$QL$44),赔率设置!$F$6))</f>
        <v>见左</v>
      </c>
      <c r="P4" s="50" t="str">
        <f>IF(P$42="有","见左",ROUND(SUMIF($B$41:$QL$41,P$41,$B$44:$QL$44),赔率设置!$F$6))</f>
        <v>见左</v>
      </c>
      <c r="Q4" s="50">
        <f>IF(Q$42="有","见左",ROUND(SUMIF($B$41:$QL$41,Q$41,$B$44:$QL$44),赔率设置!$F$6))</f>
        <v>0</v>
      </c>
      <c r="R4" s="50" t="str">
        <f>IF(R$42="有","见左",ROUND(SUMIF($B$41:$QL$41,R$41,$B$44:$QL$44),赔率设置!$F$6))</f>
        <v>见左</v>
      </c>
      <c r="S4" s="50" t="str">
        <f>IF(S$42="有","见左",ROUND(SUMIF($B$41:$QL$41,S$41,$B$44:$QL$44),赔率设置!$F$6))</f>
        <v>见左</v>
      </c>
      <c r="T4" s="50">
        <f>IF(T$42="有","见左",ROUND(SUMIF($B$41:$QL$41,T$41,$B$44:$QL$44),赔率设置!$F$6))</f>
        <v>0</v>
      </c>
      <c r="U4" s="50">
        <f>IF(U$42="有","见左",ROUND(SUMIF($B$41:$QL$41,U$41,$B$44:$QL$44),赔率设置!$F$6))</f>
        <v>0</v>
      </c>
      <c r="V4" s="50">
        <f>IF(V$42="有","见左",ROUND(SUMIF($B$41:$QL$41,V$41,$B$44:$QL$44),赔率设置!$F$6))</f>
        <v>0</v>
      </c>
      <c r="W4" s="50">
        <f>IF(W$42="有","见左",ROUND(SUMIF($B$41:$QL$41,W$41,$B$44:$QL$44),赔率设置!$F$6))</f>
        <v>0</v>
      </c>
      <c r="X4" s="50">
        <f>IF(X$42="有","见左",ROUND(SUMIF($B$41:$QL$41,X$41,$B$44:$QL$44),赔率设置!$F$6))</f>
        <v>0</v>
      </c>
      <c r="Y4" s="50">
        <f>IF(Y$42="有","见左",ROUND(SUMIF($B$41:$QL$41,Y$41,$B$44:$QL$44),赔率设置!$F$6))</f>
        <v>0</v>
      </c>
      <c r="Z4" s="50">
        <f>IF(Z$42="有","见左",ROUND(SUMIF($B$41:$QL$41,Z$41,$B$44:$QL$44),赔率设置!$F$6))</f>
        <v>0</v>
      </c>
      <c r="AA4" s="50">
        <f>IF(AA$42="有","见左",ROUND(SUMIF($B$41:$QL$41,AA$41,$B$44:$QL$44),赔率设置!$F$6))</f>
        <v>0</v>
      </c>
      <c r="AB4" s="50">
        <f>IF(AB$42="有","见左",ROUND(SUMIF($B$41:$QL$41,AB$41,$B$44:$QL$44),赔率设置!$F$6))</f>
        <v>0</v>
      </c>
      <c r="AC4" s="50">
        <f>IF(AC$42="有","见左",ROUND(SUMIF($B$41:$QL$41,AC$41,$B$44:$QL$44),赔率设置!$F$6))</f>
        <v>0</v>
      </c>
      <c r="AD4" s="50">
        <f>IF(AD$42="有","见左",ROUND(SUMIF($B$41:$QL$41,AD$41,$B$44:$QL$44),赔率设置!$F$6))</f>
        <v>0</v>
      </c>
      <c r="AE4" s="50">
        <f>IF(AE$42="有","见左",ROUND(SUMIF($B$41:$QL$41,AE$41,$B$44:$QL$44),赔率设置!$F$6))</f>
        <v>0</v>
      </c>
      <c r="AF4" s="45">
        <f>IF(AF$42="有","见左",ROUND(SUMIF($B$41:$QL$41,AF$41,$B$44:$QL$44),赔率设置!$F$6))</f>
        <v>0</v>
      </c>
      <c r="AG4" s="45">
        <f>IF(AG$42="有","见左",ROUND(SUMIF($B$41:$QL$41,AG$41,$B$44:$QL$44),赔率设置!$F$6))</f>
        <v>0</v>
      </c>
      <c r="AH4" s="33">
        <f>IF(AH$42="有","见左",ROUND(SUMIF($B$41:$QL$41,AH$41,$B$44:$QL$44),赔率设置!$F$6))</f>
        <v>0</v>
      </c>
      <c r="AI4" s="33">
        <f>IF(AI$42="有","见左",ROUND(SUMIF($B$41:$QL$41,AI$41,$B$44:$QL$44),赔率设置!$F$6))</f>
        <v>0</v>
      </c>
      <c r="AJ4" s="33">
        <f>IF(AJ$42="有","见左",ROUND(SUMIF($B$41:$QL$41,AJ$41,$B$44:$QL$44),赔率设置!$F$6))</f>
        <v>0</v>
      </c>
      <c r="AK4" s="33">
        <f>IF(AK$42="有","见左",ROUND(SUMIF($B$41:$QL$41,AK$41,$B$44:$QL$44),赔率设置!$F$6))</f>
        <v>0</v>
      </c>
      <c r="AL4" s="33">
        <f>IF(AL$42="有","见左",ROUND(SUMIF($B$41:$QL$41,AL$41,$B$44:$QL$44),赔率设置!$F$6))</f>
        <v>0</v>
      </c>
      <c r="AM4" s="33">
        <f>IF(AM$42="有","见左",ROUND(SUMIF($B$41:$QL$41,AM$41,$B$44:$QL$44),赔率设置!$F$6))</f>
        <v>0</v>
      </c>
      <c r="AN4" s="33">
        <f>IF(AN$42="有","见左",ROUND(SUMIF($B$41:$QL$41,AN$41,$B$44:$QL$44),赔率设置!$F$6))</f>
        <v>0</v>
      </c>
      <c r="AO4" s="33">
        <f>IF(AO$42="有","见左",ROUND(SUMIF($B$41:$QL$41,AO$41,$B$44:$QL$44),赔率设置!$F$6))</f>
        <v>0</v>
      </c>
      <c r="AP4" s="33">
        <f>IF(AP$42="有","见左",ROUND(SUMIF($B$41:$QL$41,AP$41,$B$44:$QL$44),赔率设置!$F$6))</f>
        <v>0</v>
      </c>
      <c r="AQ4" s="33">
        <f>IF(AQ$42="有","见左",ROUND(SUMIF($B$41:$QL$41,AQ$41,$B$44:$QL$44),赔率设置!$F$6))</f>
        <v>0</v>
      </c>
      <c r="AR4" s="33">
        <f>IF(AR$42="有","见左",ROUND(SUMIF($B$41:$QL$41,AR$41,$B$44:$QL$44),赔率设置!$F$6))</f>
        <v>0</v>
      </c>
      <c r="AS4" s="33">
        <f>IF(AS$42="有","见左",ROUND(SUMIF($B$41:$QL$41,AS$41,$B$44:$QL$44),赔率设置!$F$6))</f>
        <v>0</v>
      </c>
      <c r="AT4" s="33">
        <f>IF(AT$42="有","见左",ROUND(SUMIF($B$41:$QL$41,AT$41,$B$44:$QL$44),赔率设置!$F$6))</f>
        <v>0</v>
      </c>
      <c r="AU4" s="33">
        <f>IF(AU$42="有","见左",ROUND(SUMIF($B$41:$QL$41,AU$41,$B$44:$QL$44),赔率设置!$F$6))</f>
        <v>0</v>
      </c>
      <c r="AV4" s="33">
        <f>IF(AV$42="有","见左",ROUND(SUMIF($B$41:$QL$41,AV$41,$B$44:$QL$44),赔率设置!$F$6))</f>
        <v>0</v>
      </c>
      <c r="AW4" s="33">
        <f>IF(AW$42="有","见左",ROUND(SUMIF($B$41:$QL$41,AW$41,$B$44:$QL$44),赔率设置!$F$6))</f>
        <v>0</v>
      </c>
      <c r="AX4" s="33">
        <f>IF(AX$42="有","见左",ROUND(SUMIF($B$41:$QL$41,AX$41,$B$44:$QL$44),赔率设置!$F$6))</f>
        <v>0</v>
      </c>
      <c r="AY4" s="33">
        <f>IF(AY$42="有","见左",ROUND(SUMIF($B$41:$QL$41,AY$41,$B$44:$QL$44),赔率设置!$F$6))</f>
        <v>0</v>
      </c>
      <c r="AZ4" s="33">
        <f>IF(AZ$42="有","见左",ROUND(SUMIF($B$41:$QL$41,AZ$41,$B$44:$QL$44),赔率设置!$F$6))</f>
        <v>0</v>
      </c>
      <c r="BA4" s="33">
        <f>IF(BA$42="有","见左",ROUND(SUMIF($B$41:$QL$41,BA$41,$B$44:$QL$44),赔率设置!$F$6))</f>
        <v>0</v>
      </c>
      <c r="BB4" s="33">
        <f>IF(BB$42="有","见左",ROUND(SUMIF($B$41:$QL$41,BB$41,$B$44:$QL$44),赔率设置!$F$6))</f>
        <v>0</v>
      </c>
      <c r="BC4" s="33">
        <f>IF(BC$42="有","见左",ROUND(SUMIF($B$41:$QL$41,BC$41,$B$44:$QL$44),赔率设置!$F$6))</f>
        <v>0</v>
      </c>
      <c r="BD4" s="33">
        <f>IF(BD$42="有","见左",ROUND(SUMIF($B$41:$QL$41,BD$41,$B$44:$QL$44),赔率设置!$F$6))</f>
        <v>0</v>
      </c>
      <c r="BE4" s="33">
        <f>IF(BE$42="有","见左",ROUND(SUMIF($B$41:$QL$41,BE$41,$B$44:$QL$44),赔率设置!$F$6))</f>
        <v>0</v>
      </c>
      <c r="BF4" s="33">
        <f>IF(BF$42="有","见左",ROUND(SUMIF($B$41:$QL$41,BF$41,$B$44:$QL$44),赔率设置!$F$6))</f>
        <v>0</v>
      </c>
      <c r="BG4" s="33">
        <f>IF(BG$42="有","见左",ROUND(SUMIF($B$41:$QL$41,BG$41,$B$44:$QL$44),赔率设置!$F$6))</f>
        <v>0</v>
      </c>
      <c r="BH4" s="33">
        <f>IF(BH$42="有","见左",ROUND(SUMIF($B$41:$QL$41,BH$41,$B$44:$QL$44),赔率设置!$F$6))</f>
        <v>0</v>
      </c>
      <c r="BI4" s="33">
        <f>IF(BI$42="有","见左",ROUND(SUMIF($B$41:$QL$41,BI$41,$B$44:$QL$44),赔率设置!$F$6))</f>
        <v>0</v>
      </c>
      <c r="BJ4" s="33">
        <f>IF(BJ$42="有","见左",ROUND(SUMIF($B$41:$QL$41,BJ$41,$B$44:$QL$44),赔率设置!$F$6))</f>
        <v>0</v>
      </c>
      <c r="BK4" s="33">
        <f>IF(BK$42="有","见左",ROUND(SUMIF($B$41:$QL$41,BK$41,$B$44:$QL$44),赔率设置!$F$6))</f>
        <v>0</v>
      </c>
      <c r="BL4" s="33">
        <f>IF(BL$42="有","见左",ROUND(SUMIF($B$41:$QL$41,BL$41,$B$44:$QL$44),赔率设置!$F$6))</f>
        <v>0</v>
      </c>
      <c r="BM4" s="33">
        <f>IF(BM$42="有","见左",ROUND(SUMIF($B$41:$QL$41,BM$41,$B$44:$QL$44),赔率设置!$F$6))</f>
        <v>0</v>
      </c>
      <c r="BN4" s="33">
        <f>IF(BN$42="有","见左",ROUND(SUMIF($B$41:$QL$41,BN$41,$B$44:$QL$44),赔率设置!$F$6))</f>
        <v>0</v>
      </c>
      <c r="BO4" s="33">
        <f>IF(BO$42="有","见左",ROUND(SUMIF($B$41:$QL$41,BO$41,$B$44:$QL$44),赔率设置!$F$6))</f>
        <v>0</v>
      </c>
      <c r="BP4" s="33">
        <f>IF(BP$42="有","见左",ROUND(SUMIF($B$41:$QL$41,BP$41,$B$44:$QL$44),赔率设置!$F$6))</f>
        <v>0</v>
      </c>
      <c r="BQ4" s="33">
        <f>IF(BQ$42="有","见左",ROUND(SUMIF($B$41:$QL$41,BQ$41,$B$44:$QL$44),赔率设置!$F$6))</f>
        <v>0</v>
      </c>
      <c r="BR4" s="33">
        <f>IF(BR$42="有","见左",ROUND(SUMIF($B$41:$QL$41,BR$41,$B$44:$QL$44),赔率设置!$F$6))</f>
        <v>0</v>
      </c>
      <c r="BS4" s="33">
        <f>IF(BS$42="有","见左",ROUND(SUMIF($B$41:$QL$41,BS$41,$B$44:$QL$44),赔率设置!$F$6))</f>
        <v>0</v>
      </c>
      <c r="BT4" s="33">
        <f>IF(BT$42="有","见左",ROUND(SUMIF($B$41:$QL$41,BT$41,$B$44:$QL$44),赔率设置!$F$6))</f>
        <v>0</v>
      </c>
      <c r="BU4" s="33">
        <f>IF(BU$42="有","见左",ROUND(SUMIF($B$41:$QL$41,BU$41,$B$44:$QL$44),赔率设置!$F$6))</f>
        <v>0</v>
      </c>
      <c r="BV4" s="33">
        <f>IF(BV$42="有","见左",ROUND(SUMIF($B$41:$QL$41,BV$41,$B$44:$QL$44),赔率设置!$F$6))</f>
        <v>0</v>
      </c>
      <c r="BW4" s="33">
        <f>IF(BW$42="有","见左",ROUND(SUMIF($B$41:$QL$41,BW$41,$B$44:$QL$44),赔率设置!$F$6))</f>
        <v>0</v>
      </c>
      <c r="BX4" s="33">
        <f>IF(BX$42="有","见左",ROUND(SUMIF($B$41:$QL$41,BX$41,$B$44:$QL$44),赔率设置!$F$6))</f>
        <v>0</v>
      </c>
      <c r="BY4" s="33">
        <f>IF(BY$42="有","见左",ROUND(SUMIF($B$41:$QL$41,BY$41,$B$44:$QL$44),赔率设置!$F$6))</f>
        <v>0</v>
      </c>
      <c r="BZ4" s="33">
        <f>IF(BZ$42="有","见左",ROUND(SUMIF($B$41:$QL$41,BZ$41,$B$44:$QL$44),赔率设置!$F$6))</f>
        <v>0</v>
      </c>
      <c r="CA4" s="33">
        <f>IF(CA$42="有","见左",ROUND(SUMIF($B$41:$QL$41,CA$41,$B$44:$QL$44),赔率设置!$F$6))</f>
        <v>0</v>
      </c>
      <c r="CB4" s="33">
        <f>IF(CB$42="有","见左",ROUND(SUMIF($B$41:$QL$41,CB$41,$B$44:$QL$44),赔率设置!$F$6))</f>
        <v>0</v>
      </c>
      <c r="CC4" s="33">
        <f>IF(CC$42="有","见左",ROUND(SUMIF($B$41:$QL$41,CC$41,$B$44:$QL$44),赔率设置!$F$6))</f>
        <v>0</v>
      </c>
      <c r="CD4" s="33">
        <f>IF(CD$42="有","见左",ROUND(SUMIF($B$41:$QL$41,CD$41,$B$44:$QL$44),赔率设置!$F$6))</f>
        <v>0</v>
      </c>
      <c r="CE4" s="33">
        <f>IF(CE$42="有","见左",ROUND(SUMIF($B$41:$QL$41,CE$41,$B$44:$QL$44),赔率设置!$F$6))</f>
        <v>0</v>
      </c>
      <c r="CF4" s="33">
        <f>IF(CF$42="有","见左",ROUND(SUMIF($B$41:$QL$41,CF$41,$B$44:$QL$44),赔率设置!$F$6))</f>
        <v>0</v>
      </c>
      <c r="CG4" s="33">
        <f>IF(CG$42="有","见左",ROUND(SUMIF($B$41:$QL$41,CG$41,$B$44:$QL$44),赔率设置!$F$6))</f>
        <v>0</v>
      </c>
      <c r="CH4" s="33">
        <f>IF(CH$42="有","见左",ROUND(SUMIF($B$41:$QL$41,CH$41,$B$44:$QL$44),赔率设置!$F$6))</f>
        <v>0</v>
      </c>
      <c r="CI4" s="33">
        <f>IF(CI$42="有","见左",ROUND(SUMIF($B$41:$QL$41,CI$41,$B$44:$QL$44),赔率设置!$F$6))</f>
        <v>0</v>
      </c>
      <c r="CJ4" s="33">
        <f>IF(CJ$42="有","见左",ROUND(SUMIF($B$41:$QL$41,CJ$41,$B$44:$QL$44),赔率设置!$F$6))</f>
        <v>0</v>
      </c>
      <c r="CK4" s="33">
        <f>IF(CK$42="有","见左",ROUND(SUMIF($B$41:$QL$41,CK$41,$B$44:$QL$44),赔率设置!$F$6))</f>
        <v>0</v>
      </c>
      <c r="CL4" s="33">
        <f>IF(CL$42="有","见左",ROUND(SUMIF($B$41:$QL$41,CL$41,$B$44:$QL$44),赔率设置!$F$6))</f>
        <v>0</v>
      </c>
      <c r="CM4" s="33">
        <f>IF(CM$42="有","见左",ROUND(SUMIF($B$41:$QL$41,CM$41,$B$44:$QL$44),赔率设置!$F$6))</f>
        <v>0</v>
      </c>
      <c r="CN4" s="33">
        <f>IF(CN$42="有","见左",ROUND(SUMIF($B$41:$QL$41,CN$41,$B$44:$QL$44),赔率设置!$F$6))</f>
        <v>0</v>
      </c>
      <c r="CO4" s="33">
        <f>IF(CO$42="有","见左",ROUND(SUMIF($B$41:$QL$41,CO$41,$B$44:$QL$44),赔率设置!$F$6))</f>
        <v>0</v>
      </c>
      <c r="CP4" s="33">
        <f>IF(CP$42="有","见左",ROUND(SUMIF($B$41:$QL$41,CP$41,$B$44:$QL$44),赔率设置!$F$6))</f>
        <v>0</v>
      </c>
      <c r="CQ4" s="33">
        <f>IF(CQ$42="有","见左",ROUND(SUMIF($B$41:$QL$41,CQ$41,$B$44:$QL$44),赔率设置!$F$6))</f>
        <v>0</v>
      </c>
      <c r="CR4" s="33">
        <f>IF(CR$42="有","见左",ROUND(SUMIF($B$41:$QL$41,CR$41,$B$44:$QL$44),赔率设置!$F$6))</f>
        <v>0</v>
      </c>
      <c r="CS4" s="33">
        <f>IF(CS$42="有","见左",ROUND(SUMIF($B$41:$QL$41,CS$41,$B$44:$QL$44),赔率设置!$F$6))</f>
        <v>0</v>
      </c>
      <c r="CT4" s="33">
        <f>IF(CT$42="有","见左",ROUND(SUMIF($B$41:$QL$41,CT$41,$B$44:$QL$44),赔率设置!$F$6))</f>
        <v>0</v>
      </c>
      <c r="CU4" s="33">
        <f>IF(CU$42="有","见左",ROUND(SUMIF($B$41:$QL$41,CU$41,$B$44:$QL$44),赔率设置!$F$6))</f>
        <v>0</v>
      </c>
      <c r="CV4" s="33">
        <f>IF(CV$42="有","见左",ROUND(SUMIF($B$41:$QL$41,CV$41,$B$44:$QL$44),赔率设置!$F$6))</f>
        <v>0</v>
      </c>
      <c r="CW4" s="33">
        <f>IF(CW$42="有","见左",ROUND(SUMIF($B$41:$QL$41,CW$41,$B$44:$QL$44),赔率设置!$F$6))</f>
        <v>0</v>
      </c>
      <c r="CX4" s="33">
        <f>IF(CX$42="有","见左",ROUND(SUMIF($B$41:$QL$41,CX$41,$B$44:$QL$44),赔率设置!$F$6))</f>
        <v>0</v>
      </c>
      <c r="CY4" s="33">
        <f>IF(CY$42="有","见左",ROUND(SUMIF($B$41:$QL$41,CY$41,$B$44:$QL$44),赔率设置!$F$6))</f>
        <v>0</v>
      </c>
      <c r="CZ4" s="33">
        <f>IF(CZ$42="有","见左",ROUND(SUMIF($B$41:$QL$41,CZ$41,$B$44:$QL$44),赔率设置!$F$6))</f>
        <v>0</v>
      </c>
      <c r="DA4" s="33">
        <f>IF(DA$42="有","见左",ROUND(SUMIF($B$41:$QL$41,DA$41,$B$44:$QL$44),赔率设置!$F$6))</f>
        <v>0</v>
      </c>
      <c r="DB4" s="33">
        <f>IF(DB$42="有","见左",ROUND(SUMIF($B$41:$QL$41,DB$41,$B$44:$QL$44),赔率设置!$F$6))</f>
        <v>0</v>
      </c>
      <c r="DC4" s="33">
        <f>IF(DC$42="有","见左",ROUND(SUMIF($B$41:$QL$41,DC$41,$B$44:$QL$44),赔率设置!$F$6))</f>
        <v>0</v>
      </c>
      <c r="DD4" s="33">
        <f>IF(DD$42="有","见左",ROUND(SUMIF($B$41:$QL$41,DD$41,$B$44:$QL$44),赔率设置!$F$6))</f>
        <v>0</v>
      </c>
      <c r="DE4" s="33">
        <f>IF(DE$42="有","见左",ROUND(SUMIF($B$41:$QL$41,DE$41,$B$44:$QL$44),赔率设置!$F$6))</f>
        <v>0</v>
      </c>
      <c r="DF4" s="33">
        <f>IF(DF$42="有","见左",ROUND(SUMIF($B$41:$QL$41,DF$41,$B$44:$QL$44),赔率设置!$F$6))</f>
        <v>0</v>
      </c>
      <c r="DG4" s="33">
        <f>IF(DG$42="有","见左",ROUND(SUMIF($B$41:$QL$41,DG$41,$B$44:$QL$44),赔率设置!$F$6))</f>
        <v>0</v>
      </c>
      <c r="DH4" s="33">
        <f>IF(DH$42="有","见左",ROUND(SUMIF($B$41:$QL$41,DH$41,$B$44:$QL$44),赔率设置!$F$6))</f>
        <v>0</v>
      </c>
      <c r="DI4" s="33">
        <f>IF(DI$42="有","见左",ROUND(SUMIF($B$41:$QL$41,DI$41,$B$44:$QL$44),赔率设置!$F$6))</f>
        <v>0</v>
      </c>
      <c r="DJ4" s="33">
        <f>IF(DJ$42="有","见左",ROUND(SUMIF($B$41:$QL$41,DJ$41,$B$44:$QL$44),赔率设置!$F$6))</f>
        <v>0</v>
      </c>
      <c r="DK4" s="33">
        <f>IF(DK$42="有","见左",ROUND(SUMIF($B$41:$QL$41,DK$41,$B$44:$QL$44),赔率设置!$F$6))</f>
        <v>0</v>
      </c>
      <c r="DL4" s="33">
        <f>IF(DL$42="有","见左",ROUND(SUMIF($B$41:$QL$41,DL$41,$B$44:$QL$44),赔率设置!$F$6))</f>
        <v>0</v>
      </c>
      <c r="DM4" s="33">
        <f>IF(DM$42="有","见左",ROUND(SUMIF($B$41:$QL$41,DM$41,$B$44:$QL$44),赔率设置!$F$6))</f>
        <v>0</v>
      </c>
      <c r="DN4" s="33">
        <f>IF(DN$42="有","见左",ROUND(SUMIF($B$41:$QL$41,DN$41,$B$44:$QL$44),赔率设置!$F$6))</f>
        <v>0</v>
      </c>
      <c r="DO4" s="33">
        <f>IF(DO$42="有","见左",ROUND(SUMIF($B$41:$QL$41,DO$41,$B$44:$QL$44),赔率设置!$F$6))</f>
        <v>0</v>
      </c>
      <c r="DP4" s="33">
        <f>IF(DP$42="有","见左",ROUND(SUMIF($B$41:$QL$41,DP$41,$B$44:$QL$44),赔率设置!$F$6))</f>
        <v>0</v>
      </c>
      <c r="DQ4" s="33">
        <f>IF(DQ$42="有","见左",ROUND(SUMIF($B$41:$QL$41,DQ$41,$B$44:$QL$44),赔率设置!$F$6))</f>
        <v>0</v>
      </c>
      <c r="DR4" s="33">
        <f>IF(DR$42="有","见左",ROUND(SUMIF($B$41:$QL$41,DR$41,$B$44:$QL$44),赔率设置!$F$6))</f>
        <v>0</v>
      </c>
      <c r="DS4" s="33">
        <f>IF(DS$42="有","见左",ROUND(SUMIF($B$41:$QL$41,DS$41,$B$44:$QL$44),赔率设置!$F$6))</f>
        <v>0</v>
      </c>
      <c r="DT4" s="33">
        <f>IF(DT$42="有","见左",ROUND(SUMIF($B$41:$QL$41,DT$41,$B$44:$QL$44),赔率设置!$F$6))</f>
        <v>0</v>
      </c>
      <c r="DU4" s="33">
        <f>IF(DU$42="有","见左",ROUND(SUMIF($B$41:$QL$41,DU$41,$B$44:$QL$44),赔率设置!$F$6))</f>
        <v>0</v>
      </c>
      <c r="DV4" s="33">
        <f>IF(DV$42="有","见左",ROUND(SUMIF($B$41:$QL$41,DV$41,$B$44:$QL$44),赔率设置!$F$6))</f>
        <v>0</v>
      </c>
      <c r="DW4" s="33">
        <f>IF(DW$42="有","见左",ROUND(SUMIF($B$41:$QL$41,DW$41,$B$44:$QL$44),赔率设置!$F$6))</f>
        <v>0</v>
      </c>
      <c r="DX4" s="33">
        <f>IF(DX$42="有","见左",ROUND(SUMIF($B$41:$QL$41,DX$41,$B$44:$QL$44),赔率设置!$F$6))</f>
        <v>0</v>
      </c>
      <c r="DY4" s="33">
        <f>IF(DY$42="有","见左",ROUND(SUMIF($B$41:$QL$41,DY$41,$B$44:$QL$44),赔率设置!$F$6))</f>
        <v>0</v>
      </c>
      <c r="DZ4" s="33">
        <f>IF(DZ$42="有","见左",ROUND(SUMIF($B$41:$QL$41,DZ$41,$B$44:$QL$44),赔率设置!$F$6))</f>
        <v>0</v>
      </c>
      <c r="EA4" s="33">
        <f>IF(EA$42="有","见左",ROUND(SUMIF($B$41:$QL$41,EA$41,$B$44:$QL$44),赔率设置!$F$6))</f>
        <v>0</v>
      </c>
      <c r="EB4" s="33">
        <f>IF(EB$42="有","见左",ROUND(SUMIF($B$41:$QL$41,EB$41,$B$44:$QL$44),赔率设置!$F$6))</f>
        <v>0</v>
      </c>
      <c r="EC4" s="33">
        <f>IF(EC$42="有","见左",ROUND(SUMIF($B$41:$QL$41,EC$41,$B$44:$QL$44),赔率设置!$F$6))</f>
        <v>0</v>
      </c>
      <c r="ED4" s="33">
        <f>IF(ED$42="有","见左",ROUND(SUMIF($B$41:$QL$41,ED$41,$B$44:$QL$44),赔率设置!$F$6))</f>
        <v>0</v>
      </c>
      <c r="EE4" s="33">
        <f>IF(EE$42="有","见左",ROUND(SUMIF($B$41:$QL$41,EE$41,$B$44:$QL$44),赔率设置!$F$6))</f>
        <v>0</v>
      </c>
      <c r="EF4" s="33">
        <f>IF(EF$42="有","见左",ROUND(SUMIF($B$41:$QL$41,EF$41,$B$44:$QL$44),赔率设置!$F$6))</f>
        <v>0</v>
      </c>
      <c r="EG4" s="33">
        <f>IF(EG$42="有","见左",ROUND(SUMIF($B$41:$QL$41,EG$41,$B$44:$QL$44),赔率设置!$F$6))</f>
        <v>0</v>
      </c>
      <c r="EH4" s="33">
        <f>IF(EH$42="有","见左",ROUND(SUMIF($B$41:$QL$41,EH$41,$B$44:$QL$44),赔率设置!$F$6))</f>
        <v>0</v>
      </c>
      <c r="EI4" s="33">
        <f>IF(EI$42="有","见左",ROUND(SUMIF($B$41:$QL$41,EI$41,$B$44:$QL$44),赔率设置!$F$6))</f>
        <v>0</v>
      </c>
      <c r="EJ4" s="33">
        <f>IF(EJ$42="有","见左",ROUND(SUMIF($B$41:$QL$41,EJ$41,$B$44:$QL$44),赔率设置!$F$6))</f>
        <v>0</v>
      </c>
      <c r="EK4" s="33">
        <f>IF(EK$42="有","见左",ROUND(SUMIF($B$41:$QL$41,EK$41,$B$44:$QL$44),赔率设置!$F$6))</f>
        <v>0</v>
      </c>
      <c r="EL4" s="33">
        <f>IF(EL$42="有","见左",ROUND(SUMIF($B$41:$QL$41,EL$41,$B$44:$QL$44),赔率设置!$F$6))</f>
        <v>0</v>
      </c>
      <c r="EM4" s="33">
        <f>IF(EM$42="有","见左",ROUND(SUMIF($B$41:$QL$41,EM$41,$B$44:$QL$44),赔率设置!$F$6))</f>
        <v>0</v>
      </c>
      <c r="EN4" s="33">
        <f>IF(EN$42="有","见左",ROUND(SUMIF($B$41:$QL$41,EN$41,$B$44:$QL$44),赔率设置!$F$6))</f>
        <v>0</v>
      </c>
      <c r="EO4" s="33">
        <f>IF(EO$42="有","见左",ROUND(SUMIF($B$41:$QL$41,EO$41,$B$44:$QL$44),赔率设置!$F$6))</f>
        <v>0</v>
      </c>
      <c r="EP4" s="33">
        <f>IF(EP$42="有","见左",ROUND(SUMIF($B$41:$QL$41,EP$41,$B$44:$QL$44),赔率设置!$F$6))</f>
        <v>0</v>
      </c>
      <c r="EQ4" s="33">
        <f>IF(EQ$42="有","见左",ROUND(SUMIF($B$41:$QL$41,EQ$41,$B$44:$QL$44),赔率设置!$F$6))</f>
        <v>0</v>
      </c>
      <c r="ER4" s="33">
        <f>IF(ER$42="有","见左",ROUND(SUMIF($B$41:$QL$41,ER$41,$B$44:$QL$44),赔率设置!$F$6))</f>
        <v>0</v>
      </c>
      <c r="ES4" s="33">
        <f>IF(ES$42="有","见左",ROUND(SUMIF($B$41:$QL$41,ES$41,$B$44:$QL$44),赔率设置!$F$6))</f>
        <v>0</v>
      </c>
      <c r="ET4" s="33">
        <f>IF(ET$42="有","见左",ROUND(SUMIF($B$41:$QL$41,ET$41,$B$44:$QL$44),赔率设置!$F$6))</f>
        <v>0</v>
      </c>
      <c r="EU4" s="33">
        <f>IF(EU$42="有","见左",ROUND(SUMIF($B$41:$QL$41,EU$41,$B$44:$QL$44),赔率设置!$F$6))</f>
        <v>0</v>
      </c>
      <c r="EV4" s="33">
        <f>IF(EV$42="有","见左",ROUND(SUMIF($B$41:$QL$41,EV$41,$B$44:$QL$44),赔率设置!$F$6))</f>
        <v>0</v>
      </c>
      <c r="EW4" s="33">
        <f>IF(EW$42="有","见左",ROUND(SUMIF($B$41:$QL$41,EW$41,$B$44:$QL$44),赔率设置!$F$6))</f>
        <v>0</v>
      </c>
      <c r="EX4" s="33">
        <f>IF(EX$42="有","见左",ROUND(SUMIF($B$41:$QL$41,EX$41,$B$44:$QL$44),赔率设置!$F$6))</f>
        <v>0</v>
      </c>
      <c r="EY4" s="33">
        <f>IF(EY$42="有","见左",ROUND(SUMIF($B$41:$QL$41,EY$41,$B$44:$QL$44),赔率设置!$F$6))</f>
        <v>0</v>
      </c>
      <c r="EZ4" s="33">
        <f>IF(EZ$42="有","见左",ROUND(SUMIF($B$41:$QL$41,EZ$41,$B$44:$QL$44),赔率设置!$F$6))</f>
        <v>0</v>
      </c>
      <c r="FA4" s="33">
        <f>IF(FA$42="有","见左",ROUND(SUMIF($B$41:$QL$41,FA$41,$B$44:$QL$44),赔率设置!$F$6))</f>
        <v>0</v>
      </c>
      <c r="FB4" s="33">
        <f>IF(FB$42="有","见左",ROUND(SUMIF($B$41:$QL$41,FB$41,$B$44:$QL$44),赔率设置!$F$6))</f>
        <v>0</v>
      </c>
      <c r="FC4" s="33">
        <f>IF(FC$42="有","见左",ROUND(SUMIF($B$41:$QL$41,FC$41,$B$44:$QL$44),赔率设置!$F$6))</f>
        <v>0</v>
      </c>
      <c r="FD4" s="33">
        <f>IF(FD$42="有","见左",ROUND(SUMIF($B$41:$QL$41,FD$41,$B$44:$QL$44),赔率设置!$F$6))</f>
        <v>0</v>
      </c>
      <c r="FE4" s="33">
        <f>IF(FE$42="有","见左",ROUND(SUMIF($B$41:$QL$41,FE$41,$B$44:$QL$44),赔率设置!$F$6))</f>
        <v>0</v>
      </c>
      <c r="FF4" s="33">
        <f>IF(FF$42="有","见左",ROUND(SUMIF($B$41:$QL$41,FF$41,$B$44:$QL$44),赔率设置!$F$6))</f>
        <v>0</v>
      </c>
      <c r="FG4" s="33">
        <f>IF(FG$42="有","见左",ROUND(SUMIF($B$41:$QL$41,FG$41,$B$44:$QL$44),赔率设置!$F$6))</f>
        <v>0</v>
      </c>
      <c r="FH4" s="33">
        <f>IF(FH$42="有","见左",ROUND(SUMIF($B$41:$QL$41,FH$41,$B$44:$QL$44),赔率设置!$F$6))</f>
        <v>0</v>
      </c>
      <c r="FI4" s="33">
        <f>IF(FI$42="有","见左",ROUND(SUMIF($B$41:$QL$41,FI$41,$B$44:$QL$44),赔率设置!$F$6))</f>
        <v>0</v>
      </c>
      <c r="FJ4" s="33">
        <f>IF(FJ$42="有","见左",ROUND(SUMIF($B$41:$QL$41,FJ$41,$B$44:$QL$44),赔率设置!$F$6))</f>
        <v>0</v>
      </c>
      <c r="FK4" s="33">
        <f>IF(FK$42="有","见左",ROUND(SUMIF($B$41:$QL$41,FK$41,$B$44:$QL$44),赔率设置!$F$6))</f>
        <v>0</v>
      </c>
      <c r="FL4" s="33">
        <f>IF(FL$42="有","见左",ROUND(SUMIF($B$41:$QL$41,FL$41,$B$44:$QL$44),赔率设置!$F$6))</f>
        <v>0</v>
      </c>
      <c r="FM4" s="33">
        <f>IF(FM$42="有","见左",ROUND(SUMIF($B$41:$QL$41,FM$41,$B$44:$QL$44),赔率设置!$F$6))</f>
        <v>0</v>
      </c>
      <c r="FN4" s="33">
        <f>IF(FN$42="有","见左",ROUND(SUMIF($B$41:$QL$41,FN$41,$B$44:$QL$44),赔率设置!$F$6))</f>
        <v>0</v>
      </c>
      <c r="FO4" s="33">
        <f>IF(FO$42="有","见左",ROUND(SUMIF($B$41:$QL$41,FO$41,$B$44:$QL$44),赔率设置!$F$6))</f>
        <v>0</v>
      </c>
      <c r="FP4" s="33">
        <f>IF(FP$42="有","见左",ROUND(SUMIF($B$41:$QL$41,FP$41,$B$44:$QL$44),赔率设置!$F$6))</f>
        <v>0</v>
      </c>
      <c r="FQ4" s="33">
        <f>IF(FQ$42="有","见左",ROUND(SUMIF($B$41:$QL$41,FQ$41,$B$44:$QL$44),赔率设置!$F$6))</f>
        <v>0</v>
      </c>
      <c r="FR4" s="33">
        <f>IF(FR$42="有","见左",ROUND(SUMIF($B$41:$QL$41,FR$41,$B$44:$QL$44),赔率设置!$F$6))</f>
        <v>0</v>
      </c>
      <c r="FS4" s="33">
        <f>IF(FS$42="有","见左",ROUND(SUMIF($B$41:$QL$41,FS$41,$B$44:$QL$44),赔率设置!$F$6))</f>
        <v>0</v>
      </c>
      <c r="FT4" s="33">
        <f>IF(FT$42="有","见左",ROUND(SUMIF($B$41:$QL$41,FT$41,$B$44:$QL$44),赔率设置!$F$6))</f>
        <v>0</v>
      </c>
      <c r="FU4" s="33">
        <f>IF(FU$42="有","见左",ROUND(SUMIF($B$41:$QL$41,FU$41,$B$44:$QL$44),赔率设置!$F$6))</f>
        <v>0</v>
      </c>
      <c r="FV4" s="33">
        <f>IF(FV$42="有","见左",ROUND(SUMIF($B$41:$QL$41,FV$41,$B$44:$QL$44),赔率设置!$F$6))</f>
        <v>0</v>
      </c>
      <c r="FW4" s="33">
        <f>IF(FW$42="有","见左",ROUND(SUMIF($B$41:$QL$41,FW$41,$B$44:$QL$44),赔率设置!$F$6))</f>
        <v>0</v>
      </c>
      <c r="FX4" s="33">
        <f>IF(FX$42="有","见左",ROUND(SUMIF($B$41:$QL$41,FX$41,$B$44:$QL$44),赔率设置!$F$6))</f>
        <v>0</v>
      </c>
      <c r="FY4" s="33">
        <f>IF(FY$42="有","见左",ROUND(SUMIF($B$41:$QL$41,FY$41,$B$44:$QL$44),赔率设置!$F$6))</f>
        <v>0</v>
      </c>
      <c r="FZ4" s="33">
        <f>IF(FZ$42="有","见左",ROUND(SUMIF($B$41:$QL$41,FZ$41,$B$44:$QL$44),赔率设置!$F$6))</f>
        <v>0</v>
      </c>
      <c r="GA4" s="33">
        <f>IF(GA$42="有","见左",ROUND(SUMIF($B$41:$QL$41,GA$41,$B$44:$QL$44),赔率设置!$F$6))</f>
        <v>0</v>
      </c>
      <c r="GB4" s="33">
        <f>IF(GB$42="有","见左",ROUND(SUMIF($B$41:$QL$41,GB$41,$B$44:$QL$44),赔率设置!$F$6))</f>
        <v>0</v>
      </c>
      <c r="GC4" s="33">
        <f>IF(GC$42="有","见左",ROUND(SUMIF($B$41:$QL$41,GC$41,$B$44:$QL$44),赔率设置!$F$6))</f>
        <v>0</v>
      </c>
      <c r="GD4" s="33">
        <f>IF(GD$42="有","见左",ROUND(SUMIF($B$41:$QL$41,GD$41,$B$44:$QL$44),赔率设置!$F$6))</f>
        <v>0</v>
      </c>
      <c r="GE4" s="33">
        <f>IF(GE$42="有","见左",ROUND(SUMIF($B$41:$QL$41,GE$41,$B$44:$QL$44),赔率设置!$F$6))</f>
        <v>0</v>
      </c>
      <c r="GF4" s="33">
        <f>IF(GF$42="有","见左",ROUND(SUMIF($B$41:$QL$41,GF$41,$B$44:$QL$44),赔率设置!$F$6))</f>
        <v>0</v>
      </c>
      <c r="GG4" s="33">
        <f>IF(GG$42="有","见左",ROUND(SUMIF($B$41:$QL$41,GG$41,$B$44:$QL$44),赔率设置!$F$6))</f>
        <v>0</v>
      </c>
      <c r="GH4" s="33">
        <f>IF(GH$42="有","见左",ROUND(SUMIF($B$41:$QL$41,GH$41,$B$44:$QL$44),赔率设置!$F$6))</f>
        <v>0</v>
      </c>
      <c r="GI4" s="33">
        <f>IF(GI$42="有","见左",ROUND(SUMIF($B$41:$QL$41,GI$41,$B$44:$QL$44),赔率设置!$F$6))</f>
        <v>0</v>
      </c>
      <c r="GJ4" s="33">
        <f>IF(GJ$42="有","见左",ROUND(SUMIF($B$41:$QL$41,GJ$41,$B$44:$QL$44),赔率设置!$F$6))</f>
        <v>0</v>
      </c>
      <c r="GK4" s="33">
        <f>IF(GK$42="有","见左",ROUND(SUMIF($B$41:$QL$41,GK$41,$B$44:$QL$44),赔率设置!$F$6))</f>
        <v>0</v>
      </c>
      <c r="GL4" s="33">
        <f>IF(GL$42="有","见左",ROUND(SUMIF($B$41:$QL$41,GL$41,$B$44:$QL$44),赔率设置!$F$6))</f>
        <v>0</v>
      </c>
      <c r="GM4" s="33">
        <f>IF(GM$42="有","见左",ROUND(SUMIF($B$41:$QL$41,GM$41,$B$44:$QL$44),赔率设置!$F$6))</f>
        <v>0</v>
      </c>
      <c r="GN4" s="33">
        <f>IF(GN$42="有","见左",ROUND(SUMIF($B$41:$QL$41,GN$41,$B$44:$QL$44),赔率设置!$F$6))</f>
        <v>0</v>
      </c>
      <c r="GO4" s="33">
        <f>IF(GO$42="有","见左",ROUND(SUMIF($B$41:$QL$41,GO$41,$B$44:$QL$44),赔率设置!$F$6))</f>
        <v>0</v>
      </c>
      <c r="GP4" s="33">
        <f>IF(GP$42="有","见左",ROUND(SUMIF($B$41:$QL$41,GP$41,$B$44:$QL$44),赔率设置!$F$6))</f>
        <v>0</v>
      </c>
      <c r="GQ4" s="33">
        <f>IF(GQ$42="有","见左",ROUND(SUMIF($B$41:$QL$41,GQ$41,$B$44:$QL$44),赔率设置!$F$6))</f>
        <v>0</v>
      </c>
      <c r="GR4" s="33">
        <f>IF(GR$42="有","见左",ROUND(SUMIF($B$41:$QL$41,GR$41,$B$44:$QL$44),赔率设置!$F$6))</f>
        <v>0</v>
      </c>
      <c r="GS4" s="33">
        <f>IF(GS$42="有","见左",ROUND(SUMIF($B$41:$QL$41,GS$41,$B$44:$QL$44),赔率设置!$F$6))</f>
        <v>0</v>
      </c>
      <c r="GT4" s="33">
        <f>IF(GT$42="有","见左",ROUND(SUMIF($B$41:$QL$41,GT$41,$B$44:$QL$44),赔率设置!$F$6))</f>
        <v>0</v>
      </c>
      <c r="GU4" s="33">
        <f>IF(GU$42="有","见左",ROUND(SUMIF($B$41:$QL$41,GU$41,$B$44:$QL$44),赔率设置!$F$6))</f>
        <v>0</v>
      </c>
      <c r="GV4" s="33">
        <f>IF(GV$42="有","见左",ROUND(SUMIF($B$41:$QL$41,GV$41,$B$44:$QL$44),赔率设置!$F$6))</f>
        <v>0</v>
      </c>
      <c r="GW4" s="33">
        <f>IF(GW$42="有","见左",ROUND(SUMIF($B$41:$QL$41,GW$41,$B$44:$QL$44),赔率设置!$F$6))</f>
        <v>0</v>
      </c>
      <c r="GX4" s="33">
        <f>IF(GX$42="有","见左",ROUND(SUMIF($B$41:$QL$41,GX$41,$B$44:$QL$44),赔率设置!$F$6))</f>
        <v>0</v>
      </c>
      <c r="GY4" s="33">
        <f>IF(GY$42="有","见左",ROUND(SUMIF($B$41:$QL$41,GY$41,$B$44:$QL$44),赔率设置!$F$6))</f>
        <v>0</v>
      </c>
      <c r="GZ4" s="33">
        <f>IF(GZ$42="有","见左",ROUND(SUMIF($B$41:$QL$41,GZ$41,$B$44:$QL$44),赔率设置!$F$6))</f>
        <v>0</v>
      </c>
      <c r="HA4" s="33">
        <f>IF(HA$42="有","见左",ROUND(SUMIF($B$41:$QL$41,HA$41,$B$44:$QL$44),赔率设置!$F$6))</f>
        <v>0</v>
      </c>
      <c r="HB4" s="33">
        <f>IF(HB$42="有","见左",ROUND(SUMIF($B$41:$QL$41,HB$41,$B$44:$QL$44),赔率设置!$F$6))</f>
        <v>0</v>
      </c>
      <c r="HC4" s="33">
        <f>IF(HC$42="有","见左",ROUND(SUMIF($B$41:$QL$41,HC$41,$B$44:$QL$44),赔率设置!$F$6))</f>
        <v>0</v>
      </c>
      <c r="HD4" s="33">
        <f>IF(HD$42="有","见左",ROUND(SUMIF($B$41:$QL$41,HD$41,$B$44:$QL$44),赔率设置!$F$6))</f>
        <v>0</v>
      </c>
      <c r="HE4" s="33">
        <f>IF(HE$42="有","见左",ROUND(SUMIF($B$41:$QL$41,HE$41,$B$44:$QL$44),赔率设置!$F$6))</f>
        <v>0</v>
      </c>
      <c r="HF4" s="33">
        <f>IF(HF$42="有","见左",ROUND(SUMIF($B$41:$QL$41,HF$41,$B$44:$QL$44),赔率设置!$F$6))</f>
        <v>0</v>
      </c>
      <c r="HG4" s="33">
        <f>IF(HG$42="有","见左",ROUND(SUMIF($B$41:$QL$41,HG$41,$B$44:$QL$44),赔率设置!$F$6))</f>
        <v>0</v>
      </c>
      <c r="HH4" s="33">
        <f>IF(HH$42="有","见左",ROUND(SUMIF($B$41:$QL$41,HH$41,$B$44:$QL$44),赔率设置!$F$6))</f>
        <v>0</v>
      </c>
      <c r="HI4" s="33">
        <f>IF(HI$42="有","见左",ROUND(SUMIF($B$41:$QL$41,HI$41,$B$44:$QL$44),赔率设置!$F$6))</f>
        <v>0</v>
      </c>
      <c r="HJ4" s="33">
        <f>IF(HJ$42="有","见左",ROUND(SUMIF($B$41:$QL$41,HJ$41,$B$44:$QL$44),赔率设置!$F$6))</f>
        <v>0</v>
      </c>
      <c r="HK4" s="33">
        <f>IF(HK$42="有","见左",ROUND(SUMIF($B$41:$QL$41,HK$41,$B$44:$QL$44),赔率设置!$F$6))</f>
        <v>0</v>
      </c>
      <c r="HL4" s="33">
        <f>IF(HL$42="有","见左",ROUND(SUMIF($B$41:$QL$41,HL$41,$B$44:$QL$44),赔率设置!$F$6))</f>
        <v>0</v>
      </c>
      <c r="HM4" s="33">
        <f>IF(HM$42="有","见左",ROUND(SUMIF($B$41:$QL$41,HM$41,$B$44:$QL$44),赔率设置!$F$6))</f>
        <v>0</v>
      </c>
      <c r="HN4" s="33">
        <f>IF(HN$42="有","见左",ROUND(SUMIF($B$41:$QL$41,HN$41,$B$44:$QL$44),赔率设置!$F$6))</f>
        <v>0</v>
      </c>
      <c r="HO4" s="33">
        <f>IF(HO$42="有","见左",ROUND(SUMIF($B$41:$QL$41,HO$41,$B$44:$QL$44),赔率设置!$F$6))</f>
        <v>0</v>
      </c>
      <c r="HP4" s="33">
        <f>IF(HP$42="有","见左",ROUND(SUMIF($B$41:$QL$41,HP$41,$B$44:$QL$44),赔率设置!$F$6))</f>
        <v>0</v>
      </c>
      <c r="HQ4" s="33">
        <f>IF(HQ$42="有","见左",ROUND(SUMIF($B$41:$QL$41,HQ$41,$B$44:$QL$44),赔率设置!$F$6))</f>
        <v>0</v>
      </c>
      <c r="HR4" s="33">
        <f>IF(HR$42="有","见左",ROUND(SUMIF($B$41:$QL$41,HR$41,$B$44:$QL$44),赔率设置!$F$6))</f>
        <v>0</v>
      </c>
      <c r="HS4" s="33">
        <f>IF(HS$42="有","见左",ROUND(SUMIF($B$41:$QL$41,HS$41,$B$44:$QL$44),赔率设置!$F$6))</f>
        <v>0</v>
      </c>
      <c r="HT4" s="33">
        <f>IF(HT$42="有","见左",ROUND(SUMIF($B$41:$QL$41,HT$41,$B$44:$QL$44),赔率设置!$F$6))</f>
        <v>0</v>
      </c>
      <c r="HU4" s="33">
        <f>IF(HU$42="有","见左",ROUND(SUMIF($B$41:$QL$41,HU$41,$B$44:$QL$44),赔率设置!$F$6))</f>
        <v>0</v>
      </c>
      <c r="HV4" s="33">
        <f>IF(HV$42="有","见左",ROUND(SUMIF($B$41:$QL$41,HV$41,$B$44:$QL$44),赔率设置!$F$6))</f>
        <v>0</v>
      </c>
      <c r="HW4" s="33">
        <f>IF(HW$42="有","见左",ROUND(SUMIF($B$41:$QL$41,HW$41,$B$44:$QL$44),赔率设置!$F$6))</f>
        <v>0</v>
      </c>
      <c r="HX4" s="33">
        <f>IF(HX$42="有","见左",ROUND(SUMIF($B$41:$QL$41,HX$41,$B$44:$QL$44),赔率设置!$F$6))</f>
        <v>0</v>
      </c>
      <c r="HY4" s="33">
        <f>IF(HY$42="有","见左",ROUND(SUMIF($B$41:$QL$41,HY$41,$B$44:$QL$44),赔率设置!$F$6))</f>
        <v>0</v>
      </c>
      <c r="HZ4" s="33">
        <f>IF(HZ$42="有","见左",ROUND(SUMIF($B$41:$QL$41,HZ$41,$B$44:$QL$44),赔率设置!$F$6))</f>
        <v>0</v>
      </c>
      <c r="IA4" s="33">
        <f>IF(IA$42="有","见左",ROUND(SUMIF($B$41:$QL$41,IA$41,$B$44:$QL$44),赔率设置!$F$6))</f>
        <v>0</v>
      </c>
      <c r="IB4" s="33">
        <f>IF(IB$42="有","见左",ROUND(SUMIF($B$41:$QL$41,IB$41,$B$44:$QL$44),赔率设置!$F$6))</f>
        <v>0</v>
      </c>
      <c r="IC4" s="33">
        <f>IF(IC$42="有","见左",ROUND(SUMIF($B$41:$QL$41,IC$41,$B$44:$QL$44),赔率设置!$F$6))</f>
        <v>0</v>
      </c>
      <c r="ID4" s="33">
        <f>IF(ID$42="有","见左",ROUND(SUMIF($B$41:$QL$41,ID$41,$B$44:$QL$44),赔率设置!$F$6))</f>
        <v>0</v>
      </c>
      <c r="IE4" s="33">
        <f>IF(IE$42="有","见左",ROUND(SUMIF($B$41:$QL$41,IE$41,$B$44:$QL$44),赔率设置!$F$6))</f>
        <v>0</v>
      </c>
      <c r="IF4" s="33">
        <f>IF(IF$42="有","见左",ROUND(SUMIF($B$41:$QL$41,IF$41,$B$44:$QL$44),赔率设置!$F$6))</f>
        <v>0</v>
      </c>
      <c r="IG4" s="33">
        <f>IF(IG$42="有","见左",ROUND(SUMIF($B$41:$QL$41,IG$41,$B$44:$QL$44),赔率设置!$F$6))</f>
        <v>0</v>
      </c>
      <c r="IH4" s="33">
        <f>IF(IH$42="有","见左",ROUND(SUMIF($B$41:$QL$41,IH$41,$B$44:$QL$44),赔率设置!$F$6))</f>
        <v>0</v>
      </c>
      <c r="II4" s="33">
        <f>IF(II$42="有","见左",ROUND(SUMIF($B$41:$QL$41,II$41,$B$44:$QL$44),赔率设置!$F$6))</f>
        <v>0</v>
      </c>
      <c r="IJ4" s="33">
        <f>IF(IJ$42="有","见左",ROUND(SUMIF($B$41:$QL$41,IJ$41,$B$44:$QL$44),赔率设置!$F$6))</f>
        <v>0</v>
      </c>
      <c r="IK4" s="33">
        <f>IF(IK$42="有","见左",ROUND(SUMIF($B$41:$QL$41,IK$41,$B$44:$QL$44),赔率设置!$F$6))</f>
        <v>0</v>
      </c>
      <c r="IL4" s="33">
        <f>IF(IL$42="有","见左",ROUND(SUMIF($B$41:$QL$41,IL$41,$B$44:$QL$44),赔率设置!$F$6))</f>
        <v>0</v>
      </c>
      <c r="IM4" s="33">
        <f>IF(IM$42="有","见左",ROUND(SUMIF($B$41:$QL$41,IM$41,$B$44:$QL$44),赔率设置!$F$6))</f>
        <v>0</v>
      </c>
      <c r="IN4" s="33">
        <f>IF(IN$42="有","见左",ROUND(SUMIF($B$41:$QL$41,IN$41,$B$44:$QL$44),赔率设置!$F$6))</f>
        <v>0</v>
      </c>
      <c r="IO4" s="33">
        <f>IF(IO$42="有","见左",ROUND(SUMIF($B$41:$QL$41,IO$41,$B$44:$QL$44),赔率设置!$F$6))</f>
        <v>0</v>
      </c>
      <c r="IP4" s="33">
        <f>IF(IP$42="有","见左",ROUND(SUMIF($B$41:$QL$41,IP$41,$B$44:$QL$44),赔率设置!$F$6))</f>
        <v>0</v>
      </c>
      <c r="IQ4" s="33">
        <f>IF(IQ$42="有","见左",ROUND(SUMIF($B$41:$QL$41,IQ$41,$B$44:$QL$44),赔率设置!$F$6))</f>
        <v>0</v>
      </c>
      <c r="IR4" s="33">
        <f>IF(IR$42="有","见左",ROUND(SUMIF($B$41:$QL$41,IR$41,$B$44:$QL$44),赔率设置!$F$6))</f>
        <v>0</v>
      </c>
      <c r="IS4" s="33">
        <f>IF(IS$42="有","见左",ROUND(SUMIF($B$41:$QL$41,IS$41,$B$44:$QL$44),赔率设置!$F$6))</f>
        <v>0</v>
      </c>
      <c r="IT4" s="33">
        <f>IF(IT$42="有","见左",ROUND(SUMIF($B$41:$QL$41,IT$41,$B$44:$QL$44),赔率设置!$F$6))</f>
        <v>0</v>
      </c>
      <c r="IU4" s="33">
        <f>IF(IU$42="有","见左",ROUND(SUMIF($B$41:$QL$41,IU$41,$B$44:$QL$44),赔率设置!$F$6))</f>
        <v>0</v>
      </c>
      <c r="IV4" s="33">
        <f>IF(IV$42="有","见左",ROUND(SUMIF($B$41:$QL$41,IV$41,$B$44:$QL$44),赔率设置!$F$6))</f>
        <v>0</v>
      </c>
      <c r="IW4" s="33">
        <f>IF(IW$42="有","见左",ROUND(SUMIF($B$41:$QL$41,IW$41,$B$44:$QL$44),赔率设置!$F$6))</f>
        <v>0</v>
      </c>
      <c r="IX4" s="33">
        <f>IF(IX$42="有","见左",ROUND(SUMIF($B$41:$QL$41,IX$41,$B$44:$QL$44),赔率设置!$F$6))</f>
        <v>0</v>
      </c>
      <c r="IY4" s="33">
        <f>IF(IY$42="有","见左",ROUND(SUMIF($B$41:$QL$41,IY$41,$B$44:$QL$44),赔率设置!$F$6))</f>
        <v>0</v>
      </c>
      <c r="IZ4" s="33">
        <f>IF(IZ$42="有","见左",ROUND(SUMIF($B$41:$QL$41,IZ$41,$B$44:$QL$44),赔率设置!$F$6))</f>
        <v>0</v>
      </c>
      <c r="JA4" s="33">
        <f>IF(JA$42="有","见左",ROUND(SUMIF($B$41:$QL$41,JA$41,$B$44:$QL$44),赔率设置!$F$6))</f>
        <v>0</v>
      </c>
      <c r="JB4" s="33">
        <f>IF(JB$42="有","见左",ROUND(SUMIF($B$41:$QL$41,JB$41,$B$44:$QL$44),赔率设置!$F$6))</f>
        <v>0</v>
      </c>
      <c r="JC4" s="33">
        <f>IF(JC$42="有","见左",ROUND(SUMIF($B$41:$QL$41,JC$41,$B$44:$QL$44),赔率设置!$F$6))</f>
        <v>0</v>
      </c>
      <c r="JD4" s="33">
        <f>IF(JD$42="有","见左",ROUND(SUMIF($B$41:$QL$41,JD$41,$B$44:$QL$44),赔率设置!$F$6))</f>
        <v>0</v>
      </c>
      <c r="JE4" s="33">
        <f>IF(JE$42="有","见左",ROUND(SUMIF($B$41:$QL$41,JE$41,$B$44:$QL$44),赔率设置!$F$6))</f>
        <v>0</v>
      </c>
      <c r="JF4" s="33">
        <f>IF(JF$42="有","见左",ROUND(SUMIF($B$41:$QL$41,JF$41,$B$44:$QL$44),赔率设置!$F$6))</f>
        <v>0</v>
      </c>
      <c r="JG4" s="33">
        <f>IF(JG$42="有","见左",ROUND(SUMIF($B$41:$QL$41,JG$41,$B$44:$QL$44),赔率设置!$F$6))</f>
        <v>0</v>
      </c>
      <c r="JH4" s="33">
        <f>IF(JH$42="有","见左",ROUND(SUMIF($B$41:$QL$41,JH$41,$B$44:$QL$44),赔率设置!$F$6))</f>
        <v>0</v>
      </c>
      <c r="JI4" s="33">
        <f>IF(JI$42="有","见左",ROUND(SUMIF($B$41:$QL$41,JI$41,$B$44:$QL$44),赔率设置!$F$6))</f>
        <v>0</v>
      </c>
      <c r="JJ4" s="33">
        <f>IF(JJ$42="有","见左",ROUND(SUMIF($B$41:$QL$41,JJ$41,$B$44:$QL$44),赔率设置!$F$6))</f>
        <v>0</v>
      </c>
      <c r="JK4" s="33">
        <f>IF(JK$42="有","见左",ROUND(SUMIF($B$41:$QL$41,JK$41,$B$44:$QL$44),赔率设置!$F$6))</f>
        <v>0</v>
      </c>
      <c r="JL4" s="33">
        <f>IF(JL$42="有","见左",ROUND(SUMIF($B$41:$QL$41,JL$41,$B$44:$QL$44),赔率设置!$F$6))</f>
        <v>0</v>
      </c>
      <c r="JM4" s="33">
        <f>IF(JM$42="有","见左",ROUND(SUMIF($B$41:$QL$41,JM$41,$B$44:$QL$44),赔率设置!$F$6))</f>
        <v>0</v>
      </c>
      <c r="JN4" s="33">
        <f>IF(JN$42="有","见左",ROUND(SUMIF($B$41:$QL$41,JN$41,$B$44:$QL$44),赔率设置!$F$6))</f>
        <v>0</v>
      </c>
      <c r="JO4" s="33">
        <f>IF(JO$42="有","见左",ROUND(SUMIF($B$41:$QL$41,JO$41,$B$44:$QL$44),赔率设置!$F$6))</f>
        <v>0</v>
      </c>
      <c r="JP4" s="33">
        <f>IF(JP$42="有","见左",ROUND(SUMIF($B$41:$QL$41,JP$41,$B$44:$QL$44),赔率设置!$F$6))</f>
        <v>0</v>
      </c>
      <c r="JQ4" s="33">
        <f>IF(JQ$42="有","见左",ROUND(SUMIF($B$41:$QL$41,JQ$41,$B$44:$QL$44),赔率设置!$F$6))</f>
        <v>0</v>
      </c>
      <c r="JR4" s="33">
        <f>IF(JR$42="有","见左",ROUND(SUMIF($B$41:$QL$41,JR$41,$B$44:$QL$44),赔率设置!$F$6))</f>
        <v>0</v>
      </c>
      <c r="JS4" s="33">
        <f>IF(JS$42="有","见左",ROUND(SUMIF($B$41:$QL$41,JS$41,$B$44:$QL$44),赔率设置!$F$6))</f>
        <v>0</v>
      </c>
      <c r="JT4" s="33">
        <f>IF(JT$42="有","见左",ROUND(SUMIF($B$41:$QL$41,JT$41,$B$44:$QL$44),赔率设置!$F$6))</f>
        <v>0</v>
      </c>
      <c r="JU4" s="33">
        <f>IF(JU$42="有","见左",ROUND(SUMIF($B$41:$QL$41,JU$41,$B$44:$QL$44),赔率设置!$F$6))</f>
        <v>0</v>
      </c>
      <c r="JV4" s="33">
        <f>IF(JV$42="有","见左",ROUND(SUMIF($B$41:$QL$41,JV$41,$B$44:$QL$44),赔率设置!$F$6))</f>
        <v>0</v>
      </c>
      <c r="JW4" s="33">
        <f>IF(JW$42="有","见左",ROUND(SUMIF($B$41:$QL$41,JW$41,$B$44:$QL$44),赔率设置!$F$6))</f>
        <v>0</v>
      </c>
      <c r="JX4" s="33">
        <f>IF(JX$42="有","见左",ROUND(SUMIF($B$41:$QL$41,JX$41,$B$44:$QL$44),赔率设置!$F$6))</f>
        <v>0</v>
      </c>
      <c r="JY4" s="33">
        <f>IF(JY$42="有","见左",ROUND(SUMIF($B$41:$QL$41,JY$41,$B$44:$QL$44),赔率设置!$F$6))</f>
        <v>0</v>
      </c>
      <c r="JZ4" s="33">
        <f>IF(JZ$42="有","见左",ROUND(SUMIF($B$41:$QL$41,JZ$41,$B$44:$QL$44),赔率设置!$F$6))</f>
        <v>0</v>
      </c>
      <c r="KA4" s="33">
        <f>IF(KA$42="有","见左",ROUND(SUMIF($B$41:$QL$41,KA$41,$B$44:$QL$44),赔率设置!$F$6))</f>
        <v>0</v>
      </c>
      <c r="KB4" s="33">
        <f>IF(KB$42="有","见左",ROUND(SUMIF($B$41:$QL$41,KB$41,$B$44:$QL$44),赔率设置!$F$6))</f>
        <v>0</v>
      </c>
      <c r="KC4" s="33">
        <f>IF(KC$42="有","见左",ROUND(SUMIF($B$41:$QL$41,KC$41,$B$44:$QL$44),赔率设置!$F$6))</f>
        <v>0</v>
      </c>
      <c r="KD4" s="33">
        <f>IF(KD$42="有","见左",ROUND(SUMIF($B$41:$QL$41,KD$41,$B$44:$QL$44),赔率设置!$F$6))</f>
        <v>0</v>
      </c>
      <c r="KE4" s="33">
        <f>IF(KE$42="有","见左",ROUND(SUMIF($B$41:$QL$41,KE$41,$B$44:$QL$44),赔率设置!$F$6))</f>
        <v>0</v>
      </c>
      <c r="KF4" s="33">
        <f>IF(KF$42="有","见左",ROUND(SUMIF($B$41:$QL$41,KF$41,$B$44:$QL$44),赔率设置!$F$6))</f>
        <v>0</v>
      </c>
      <c r="KG4" s="33">
        <f>IF(KG$42="有","见左",ROUND(SUMIF($B$41:$QL$41,KG$41,$B$44:$QL$44),赔率设置!$F$6))</f>
        <v>0</v>
      </c>
      <c r="KH4" s="33">
        <f>IF(KH$42="有","见左",ROUND(SUMIF($B$41:$QL$41,KH$41,$B$44:$QL$44),赔率设置!$F$6))</f>
        <v>0</v>
      </c>
      <c r="KI4" s="33">
        <f>IF(KI$42="有","见左",ROUND(SUMIF($B$41:$QL$41,KI$41,$B$44:$QL$44),赔率设置!$F$6))</f>
        <v>0</v>
      </c>
      <c r="KJ4" s="33">
        <f>IF(KJ$42="有","见左",ROUND(SUMIF($B$41:$QL$41,KJ$41,$B$44:$QL$44),赔率设置!$F$6))</f>
        <v>0</v>
      </c>
      <c r="KK4" s="33">
        <f>IF(KK$42="有","见左",ROUND(SUMIF($B$41:$QL$41,KK$41,$B$44:$QL$44),赔率设置!$F$6))</f>
        <v>0</v>
      </c>
      <c r="KL4" s="33">
        <f>IF(KL$42="有","见左",ROUND(SUMIF($B$41:$QL$41,KL$41,$B$44:$QL$44),赔率设置!$F$6))</f>
        <v>0</v>
      </c>
      <c r="KM4" s="33">
        <f>IF(KM$42="有","见左",ROUND(SUMIF($B$41:$QL$41,KM$41,$B$44:$QL$44),赔率设置!$F$6))</f>
        <v>0</v>
      </c>
      <c r="KN4" s="33">
        <f>IF(KN$42="有","见左",ROUND(SUMIF($B$41:$QL$41,KN$41,$B$44:$QL$44),赔率设置!$F$6))</f>
        <v>0</v>
      </c>
      <c r="KO4" s="33">
        <f>IF(KO$42="有","见左",ROUND(SUMIF($B$41:$QL$41,KO$41,$B$44:$QL$44),赔率设置!$F$6))</f>
        <v>0</v>
      </c>
      <c r="KP4" s="33">
        <f>IF(KP$42="有","见左",ROUND(SUMIF($B$41:$QL$41,KP$41,$B$44:$QL$44),赔率设置!$F$6))</f>
        <v>0</v>
      </c>
      <c r="KQ4" s="33">
        <f>IF(KQ$42="有","见左",ROUND(SUMIF($B$41:$QL$41,KQ$41,$B$44:$QL$44),赔率设置!$F$6))</f>
        <v>0</v>
      </c>
      <c r="KR4" s="33">
        <f>IF(KR$42="有","见左",ROUND(SUMIF($B$41:$QL$41,KR$41,$B$44:$QL$44),赔率设置!$F$6))</f>
        <v>0</v>
      </c>
      <c r="KS4" s="33">
        <f>IF(KS$42="有","见左",ROUND(SUMIF($B$41:$QL$41,KS$41,$B$44:$QL$44),赔率设置!$F$6))</f>
        <v>0</v>
      </c>
      <c r="KT4" s="33">
        <f>IF(KT$42="有","见左",ROUND(SUMIF($B$41:$QL$41,KT$41,$B$44:$QL$44),赔率设置!$F$6))</f>
        <v>0</v>
      </c>
      <c r="KU4" s="33">
        <f>IF(KU$42="有","见左",ROUND(SUMIF($B$41:$QL$41,KU$41,$B$44:$QL$44),赔率设置!$F$6))</f>
        <v>0</v>
      </c>
      <c r="KV4" s="33">
        <f>IF(KV$42="有","见左",ROUND(SUMIF($B$41:$QL$41,KV$41,$B$44:$QL$44),赔率设置!$F$6))</f>
        <v>0</v>
      </c>
      <c r="KW4" s="33">
        <f>IF(KW$42="有","见左",ROUND(SUMIF($B$41:$QL$41,KW$41,$B$44:$QL$44),赔率设置!$F$6))</f>
        <v>0</v>
      </c>
      <c r="KX4" s="33">
        <f>IF(KX$42="有","见左",ROUND(SUMIF($B$41:$QL$41,KX$41,$B$44:$QL$44),赔率设置!$F$6))</f>
        <v>0</v>
      </c>
      <c r="KY4" s="33">
        <f>IF(KY$42="有","见左",ROUND(SUMIF($B$41:$QL$41,KY$41,$B$44:$QL$44),赔率设置!$F$6))</f>
        <v>0</v>
      </c>
      <c r="KZ4" s="33">
        <f>IF(KZ$42="有","见左",ROUND(SUMIF($B$41:$QL$41,KZ$41,$B$44:$QL$44),赔率设置!$F$6))</f>
        <v>0</v>
      </c>
      <c r="LA4" s="33">
        <f>IF(LA$42="有","见左",ROUND(SUMIF($B$41:$QL$41,LA$41,$B$44:$QL$44),赔率设置!$F$6))</f>
        <v>0</v>
      </c>
      <c r="LB4" s="33">
        <f>IF(LB$42="有","见左",ROUND(SUMIF($B$41:$QL$41,LB$41,$B$44:$QL$44),赔率设置!$F$6))</f>
        <v>0</v>
      </c>
      <c r="LC4" s="33">
        <f>IF(LC$42="有","见左",ROUND(SUMIF($B$41:$QL$41,LC$41,$B$44:$QL$44),赔率设置!$F$6))</f>
        <v>0</v>
      </c>
      <c r="LD4" s="33">
        <f>IF(LD$42="有","见左",ROUND(SUMIF($B$41:$QL$41,LD$41,$B$44:$QL$44),赔率设置!$F$6))</f>
        <v>0</v>
      </c>
      <c r="LE4" s="33">
        <f>IF(LE$42="有","见左",ROUND(SUMIF($B$41:$QL$41,LE$41,$B$44:$QL$44),赔率设置!$F$6))</f>
        <v>0</v>
      </c>
      <c r="LF4" s="33">
        <f>IF(LF$42="有","见左",ROUND(SUMIF($B$41:$QL$41,LF$41,$B$44:$QL$44),赔率设置!$F$6))</f>
        <v>0</v>
      </c>
      <c r="LG4" s="33">
        <f>IF(LG$42="有","见左",ROUND(SUMIF($B$41:$QL$41,LG$41,$B$44:$QL$44),赔率设置!$F$6))</f>
        <v>0</v>
      </c>
      <c r="LH4" s="33">
        <f>IF(LH$42="有","见左",ROUND(SUMIF($B$41:$QL$41,LH$41,$B$44:$QL$44),赔率设置!$F$6))</f>
        <v>0</v>
      </c>
      <c r="LI4" s="33">
        <f>IF(LI$42="有","见左",ROUND(SUMIF($B$41:$QL$41,LI$41,$B$44:$QL$44),赔率设置!$F$6))</f>
        <v>0</v>
      </c>
      <c r="LJ4" s="33">
        <f>IF(LJ$42="有","见左",ROUND(SUMIF($B$41:$QL$41,LJ$41,$B$44:$QL$44),赔率设置!$F$6))</f>
        <v>0</v>
      </c>
      <c r="LK4" s="33">
        <f>IF(LK$42="有","见左",ROUND(SUMIF($B$41:$QL$41,LK$41,$B$44:$QL$44),赔率设置!$F$6))</f>
        <v>0</v>
      </c>
      <c r="LL4" s="33">
        <f>IF(LL$42="有","见左",ROUND(SUMIF($B$41:$QL$41,LL$41,$B$44:$QL$44),赔率设置!$F$6))</f>
        <v>0</v>
      </c>
      <c r="LM4" s="33">
        <f>IF(LM$42="有","见左",ROUND(SUMIF($B$41:$QL$41,LM$41,$B$44:$QL$44),赔率设置!$F$6))</f>
        <v>0</v>
      </c>
      <c r="LN4" s="33">
        <f>IF(LN$42="有","见左",ROUND(SUMIF($B$41:$QL$41,LN$41,$B$44:$QL$44),赔率设置!$F$6))</f>
        <v>0</v>
      </c>
      <c r="LO4" s="33">
        <f>IF(LO$42="有","见左",ROUND(SUMIF($B$41:$QL$41,LO$41,$B$44:$QL$44),赔率设置!$F$6))</f>
        <v>0</v>
      </c>
      <c r="LP4" s="33">
        <f>IF(LP$42="有","见左",ROUND(SUMIF($B$41:$QL$41,LP$41,$B$44:$QL$44),赔率设置!$F$6))</f>
        <v>0</v>
      </c>
      <c r="LQ4" s="33">
        <f>IF(LQ$42="有","见左",ROUND(SUMIF($B$41:$QL$41,LQ$41,$B$44:$QL$44),赔率设置!$F$6))</f>
        <v>0</v>
      </c>
      <c r="LR4" s="33">
        <f>IF(LR$42="有","见左",ROUND(SUMIF($B$41:$QL$41,LR$41,$B$44:$QL$44),赔率设置!$F$6))</f>
        <v>0</v>
      </c>
      <c r="LS4" s="33">
        <f>IF(LS$42="有","见左",ROUND(SUMIF($B$41:$QL$41,LS$41,$B$44:$QL$44),赔率设置!$F$6))</f>
        <v>0</v>
      </c>
      <c r="LT4" s="33">
        <f>IF(LT$42="有","见左",ROUND(SUMIF($B$41:$QL$41,LT$41,$B$44:$QL$44),赔率设置!$F$6))</f>
        <v>0</v>
      </c>
      <c r="LU4" s="33">
        <f>IF(LU$42="有","见左",ROUND(SUMIF($B$41:$QL$41,LU$41,$B$44:$QL$44),赔率设置!$F$6))</f>
        <v>0</v>
      </c>
      <c r="LV4" s="33">
        <f>IF(LV$42="有","见左",ROUND(SUMIF($B$41:$QL$41,LV$41,$B$44:$QL$44),赔率设置!$F$6))</f>
        <v>0</v>
      </c>
      <c r="LW4" s="33">
        <f>IF(LW$42="有","见左",ROUND(SUMIF($B$41:$QL$41,LW$41,$B$44:$QL$44),赔率设置!$F$6))</f>
        <v>0</v>
      </c>
      <c r="LX4" s="33">
        <f>IF(LX$42="有","见左",ROUND(SUMIF($B$41:$QL$41,LX$41,$B$44:$QL$44),赔率设置!$F$6))</f>
        <v>0</v>
      </c>
      <c r="LY4" s="33">
        <f>IF(LY$42="有","见左",ROUND(SUMIF($B$41:$QL$41,LY$41,$B$44:$QL$44),赔率设置!$F$6))</f>
        <v>0</v>
      </c>
      <c r="LZ4" s="33">
        <f>IF(LZ$42="有","见左",ROUND(SUMIF($B$41:$QL$41,LZ$41,$B$44:$QL$44),赔率设置!$F$6))</f>
        <v>0</v>
      </c>
      <c r="MA4" s="33">
        <f>IF(MA$42="有","见左",ROUND(SUMIF($B$41:$QL$41,MA$41,$B$44:$QL$44),赔率设置!$F$6))</f>
        <v>0</v>
      </c>
      <c r="MB4" s="33">
        <f>IF(MB$42="有","见左",ROUND(SUMIF($B$41:$QL$41,MB$41,$B$44:$QL$44),赔率设置!$F$6))</f>
        <v>0</v>
      </c>
      <c r="MC4" s="33">
        <f>IF(MC$42="有","见左",ROUND(SUMIF($B$41:$QL$41,MC$41,$B$44:$QL$44),赔率设置!$F$6))</f>
        <v>0</v>
      </c>
      <c r="MD4" s="33">
        <f>IF(MD$42="有","见左",ROUND(SUMIF($B$41:$QL$41,MD$41,$B$44:$QL$44),赔率设置!$F$6))</f>
        <v>0</v>
      </c>
      <c r="ME4" s="33">
        <f>IF(ME$42="有","见左",ROUND(SUMIF($B$41:$QL$41,ME$41,$B$44:$QL$44),赔率设置!$F$6))</f>
        <v>0</v>
      </c>
      <c r="MF4" s="33">
        <f>IF(MF$42="有","见左",ROUND(SUMIF($B$41:$QL$41,MF$41,$B$44:$QL$44),赔率设置!$F$6))</f>
        <v>0</v>
      </c>
      <c r="MG4" s="33">
        <f>IF(MG$42="有","见左",ROUND(SUMIF($B$41:$QL$41,MG$41,$B$44:$QL$44),赔率设置!$F$6))</f>
        <v>0</v>
      </c>
      <c r="MH4" s="33">
        <f>IF(MH$42="有","见左",ROUND(SUMIF($B$41:$QL$41,MH$41,$B$44:$QL$44),赔率设置!$F$6))</f>
        <v>0</v>
      </c>
      <c r="MI4" s="33">
        <f>IF(MI$42="有","见左",ROUND(SUMIF($B$41:$QL$41,MI$41,$B$44:$QL$44),赔率设置!$F$6))</f>
        <v>0</v>
      </c>
      <c r="MJ4" s="33">
        <f>IF(MJ$42="有","见左",ROUND(SUMIF($B$41:$QL$41,MJ$41,$B$44:$QL$44),赔率设置!$F$6))</f>
        <v>0</v>
      </c>
      <c r="MK4" s="33">
        <f>IF(MK$42="有","见左",ROUND(SUMIF($B$41:$QL$41,MK$41,$B$44:$QL$44),赔率设置!$F$6))</f>
        <v>0</v>
      </c>
      <c r="ML4" s="33">
        <f>IF(ML$42="有","见左",ROUND(SUMIF($B$41:$QL$41,ML$41,$B$44:$QL$44),赔率设置!$F$6))</f>
        <v>0</v>
      </c>
      <c r="MM4" s="33">
        <f>IF(MM$42="有","见左",ROUND(SUMIF($B$41:$QL$41,MM$41,$B$44:$QL$44),赔率设置!$F$6))</f>
        <v>0</v>
      </c>
      <c r="MN4" s="33">
        <f>IF(MN$42="有","见左",ROUND(SUMIF($B$41:$QL$41,MN$41,$B$44:$QL$44),赔率设置!$F$6))</f>
        <v>0</v>
      </c>
      <c r="MO4" s="33">
        <f>IF(MO$42="有","见左",ROUND(SUMIF($B$41:$QL$41,MO$41,$B$44:$QL$44),赔率设置!$F$6))</f>
        <v>0</v>
      </c>
      <c r="MP4" s="33">
        <f>IF(MP$42="有","见左",ROUND(SUMIF($B$41:$QL$41,MP$41,$B$44:$QL$44),赔率设置!$F$6))</f>
        <v>0</v>
      </c>
      <c r="MQ4" s="33">
        <f>IF(MQ$42="有","见左",ROUND(SUMIF($B$41:$QL$41,MQ$41,$B$44:$QL$44),赔率设置!$F$6))</f>
        <v>0</v>
      </c>
      <c r="MR4" s="33">
        <f>IF(MR$42="有","见左",ROUND(SUMIF($B$41:$QL$41,MR$41,$B$44:$QL$44),赔率设置!$F$6))</f>
        <v>0</v>
      </c>
      <c r="MS4" s="33">
        <f>IF(MS$42="有","见左",ROUND(SUMIF($B$41:$QL$41,MS$41,$B$44:$QL$44),赔率设置!$F$6))</f>
        <v>0</v>
      </c>
      <c r="MT4" s="33">
        <f>IF(MT$42="有","见左",ROUND(SUMIF($B$41:$QL$41,MT$41,$B$44:$QL$44),赔率设置!$F$6))</f>
        <v>0</v>
      </c>
      <c r="MU4" s="33">
        <f>IF(MU$42="有","见左",ROUND(SUMIF($B$41:$QL$41,MU$41,$B$44:$QL$44),赔率设置!$F$6))</f>
        <v>0</v>
      </c>
      <c r="MV4" s="33">
        <f>IF(MV$42="有","见左",ROUND(SUMIF($B$41:$QL$41,MV$41,$B$44:$QL$44),赔率设置!$F$6))</f>
        <v>0</v>
      </c>
      <c r="MW4" s="33">
        <f>IF(MW$42="有","见左",ROUND(SUMIF($B$41:$QL$41,MW$41,$B$44:$QL$44),赔率设置!$F$6))</f>
        <v>0</v>
      </c>
      <c r="MX4" s="33">
        <f>IF(MX$42="有","见左",ROUND(SUMIF($B$41:$QL$41,MX$41,$B$44:$QL$44),赔率设置!$F$6))</f>
        <v>0</v>
      </c>
      <c r="MY4" s="33">
        <f>IF(MY$42="有","见左",ROUND(SUMIF($B$41:$QL$41,MY$41,$B$44:$QL$44),赔率设置!$F$6))</f>
        <v>0</v>
      </c>
      <c r="MZ4" s="33">
        <f>IF(MZ$42="有","见左",ROUND(SUMIF($B$41:$QL$41,MZ$41,$B$44:$QL$44),赔率设置!$F$6))</f>
        <v>0</v>
      </c>
      <c r="NA4" s="33">
        <f>IF(NA$42="有","见左",ROUND(SUMIF($B$41:$QL$41,NA$41,$B$44:$QL$44),赔率设置!$F$6))</f>
        <v>0</v>
      </c>
      <c r="NB4" s="33">
        <f>IF(NB$42="有","见左",ROUND(SUMIF($B$41:$QL$41,NB$41,$B$44:$QL$44),赔率设置!$F$6))</f>
        <v>0</v>
      </c>
      <c r="NC4" s="33">
        <f>IF(NC$42="有","见左",ROUND(SUMIF($B$41:$QL$41,NC$41,$B$44:$QL$44),赔率设置!$F$6))</f>
        <v>0</v>
      </c>
      <c r="ND4" s="33">
        <f>IF(ND$42="有","见左",ROUND(SUMIF($B$41:$QL$41,ND$41,$B$44:$QL$44),赔率设置!$F$6))</f>
        <v>0</v>
      </c>
      <c r="NE4" s="33">
        <f>IF(NE$42="有","见左",ROUND(SUMIF($B$41:$QL$41,NE$41,$B$44:$QL$44),赔率设置!$F$6))</f>
        <v>0</v>
      </c>
      <c r="NF4" s="33">
        <f>IF(NF$42="有","见左",ROUND(SUMIF($B$41:$QL$41,NF$41,$B$44:$QL$44),赔率设置!$F$6))</f>
        <v>0</v>
      </c>
      <c r="NG4" s="33">
        <f>IF(NG$42="有","见左",ROUND(SUMIF($B$41:$QL$41,NG$41,$B$44:$QL$44),赔率设置!$F$6))</f>
        <v>0</v>
      </c>
      <c r="NH4" s="33">
        <f>IF(NH$42="有","见左",ROUND(SUMIF($B$41:$QL$41,NH$41,$B$44:$QL$44),赔率设置!$F$6))</f>
        <v>0</v>
      </c>
      <c r="NI4" s="33">
        <f>IF(NI$42="有","见左",ROUND(SUMIF($B$41:$QL$41,NI$41,$B$44:$QL$44),赔率设置!$F$6))</f>
        <v>0</v>
      </c>
      <c r="NJ4" s="33">
        <f>IF(NJ$42="有","见左",ROUND(SUMIF($B$41:$QL$41,NJ$41,$B$44:$QL$44),赔率设置!$F$6))</f>
        <v>0</v>
      </c>
      <c r="NK4" s="33">
        <f>IF(NK$42="有","见左",ROUND(SUMIF($B$41:$QL$41,NK$41,$B$44:$QL$44),赔率设置!$F$6))</f>
        <v>0</v>
      </c>
      <c r="NL4" s="33">
        <f>IF(NL$42="有","见左",ROUND(SUMIF($B$41:$QL$41,NL$41,$B$44:$QL$44),赔率设置!$F$6))</f>
        <v>0</v>
      </c>
      <c r="NM4" s="33">
        <f>IF(NM$42="有","见左",ROUND(SUMIF($B$41:$QL$41,NM$41,$B$44:$QL$44),赔率设置!$F$6))</f>
        <v>0</v>
      </c>
      <c r="NN4" s="33">
        <f>IF(NN$42="有","见左",ROUND(SUMIF($B$41:$QL$41,NN$41,$B$44:$QL$44),赔率设置!$F$6))</f>
        <v>0</v>
      </c>
      <c r="NO4" s="33">
        <f>IF(NO$42="有","见左",ROUND(SUMIF($B$41:$QL$41,NO$41,$B$44:$QL$44),赔率设置!$F$6))</f>
        <v>0</v>
      </c>
      <c r="NP4" s="33">
        <f>IF(NP$42="有","见左",ROUND(SUMIF($B$41:$QL$41,NP$41,$B$44:$QL$44),赔率设置!$F$6))</f>
        <v>0</v>
      </c>
      <c r="NQ4" s="33">
        <f>IF(NQ$42="有","见左",ROUND(SUMIF($B$41:$QL$41,NQ$41,$B$44:$QL$44),赔率设置!$F$6))</f>
        <v>0</v>
      </c>
      <c r="NR4" s="33">
        <f>IF(NR$42="有","见左",ROUND(SUMIF($B$41:$QL$41,NR$41,$B$44:$QL$44),赔率设置!$F$6))</f>
        <v>0</v>
      </c>
      <c r="NS4" s="33">
        <f>IF(NS$42="有","见左",ROUND(SUMIF($B$41:$QL$41,NS$41,$B$44:$QL$44),赔率设置!$F$6))</f>
        <v>0</v>
      </c>
      <c r="NT4" s="33">
        <f>IF(NT$42="有","见左",ROUND(SUMIF($B$41:$QL$41,NT$41,$B$44:$QL$44),赔率设置!$F$6))</f>
        <v>0</v>
      </c>
      <c r="NU4" s="33">
        <f>IF(NU$42="有","见左",ROUND(SUMIF($B$41:$QL$41,NU$41,$B$44:$QL$44),赔率设置!$F$6))</f>
        <v>0</v>
      </c>
      <c r="NV4" s="33">
        <f>IF(NV$42="有","见左",ROUND(SUMIF($B$41:$QL$41,NV$41,$B$44:$QL$44),赔率设置!$F$6))</f>
        <v>0</v>
      </c>
      <c r="NW4" s="33">
        <f>IF(NW$42="有","见左",ROUND(SUMIF($B$41:$QL$41,NW$41,$B$44:$QL$44),赔率设置!$F$6))</f>
        <v>0</v>
      </c>
      <c r="NX4" s="33">
        <f>IF(NX$42="有","见左",ROUND(SUMIF($B$41:$QL$41,NX$41,$B$44:$QL$44),赔率设置!$F$6))</f>
        <v>0</v>
      </c>
      <c r="NY4" s="33">
        <f>IF(NY$42="有","见左",ROUND(SUMIF($B$41:$QL$41,NY$41,$B$44:$QL$44),赔率设置!$F$6))</f>
        <v>0</v>
      </c>
      <c r="NZ4" s="33">
        <f>IF(NZ$42="有","见左",ROUND(SUMIF($B$41:$QL$41,NZ$41,$B$44:$QL$44),赔率设置!$F$6))</f>
        <v>0</v>
      </c>
      <c r="OA4" s="33">
        <f>IF(OA$42="有","见左",ROUND(SUMIF($B$41:$QL$41,OA$41,$B$44:$QL$44),赔率设置!$F$6))</f>
        <v>0</v>
      </c>
      <c r="OB4" s="33">
        <f>IF(OB$42="有","见左",ROUND(SUMIF($B$41:$QL$41,OB$41,$B$44:$QL$44),赔率设置!$F$6))</f>
        <v>0</v>
      </c>
      <c r="OC4" s="33">
        <f>IF(OC$42="有","见左",ROUND(SUMIF($B$41:$QL$41,OC$41,$B$44:$QL$44),赔率设置!$F$6))</f>
        <v>0</v>
      </c>
      <c r="OD4" s="33">
        <f>IF(OD$42="有","见左",ROUND(SUMIF($B$41:$QL$41,OD$41,$B$44:$QL$44),赔率设置!$F$6))</f>
        <v>0</v>
      </c>
      <c r="OE4" s="33">
        <f>IF(OE$42="有","见左",ROUND(SUMIF($B$41:$QL$41,OE$41,$B$44:$QL$44),赔率设置!$F$6))</f>
        <v>0</v>
      </c>
      <c r="OF4" s="33">
        <f>IF(OF$42="有","见左",ROUND(SUMIF($B$41:$QL$41,OF$41,$B$44:$QL$44),赔率设置!$F$6))</f>
        <v>0</v>
      </c>
      <c r="OG4" s="33">
        <f>IF(OG$42="有","见左",ROUND(SUMIF($B$41:$QL$41,OG$41,$B$44:$QL$44),赔率设置!$F$6))</f>
        <v>0</v>
      </c>
      <c r="OH4" s="33">
        <f>IF(OH$42="有","见左",ROUND(SUMIF($B$41:$QL$41,OH$41,$B$44:$QL$44),赔率设置!$F$6))</f>
        <v>0</v>
      </c>
      <c r="OI4" s="33">
        <f>IF(OI$42="有","见左",ROUND(SUMIF($B$41:$QL$41,OI$41,$B$44:$QL$44),赔率设置!$F$6))</f>
        <v>0</v>
      </c>
      <c r="OJ4" s="33">
        <f>IF(OJ$42="有","见左",ROUND(SUMIF($B$41:$QL$41,OJ$41,$B$44:$QL$44),赔率设置!$F$6))</f>
        <v>0</v>
      </c>
      <c r="OK4" s="33">
        <f>IF(OK$42="有","见左",ROUND(SUMIF($B$41:$QL$41,OK$41,$B$44:$QL$44),赔率设置!$F$6))</f>
        <v>0</v>
      </c>
      <c r="OL4" s="33">
        <f>IF(OL$42="有","见左",ROUND(SUMIF($B$41:$QL$41,OL$41,$B$44:$QL$44),赔率设置!$F$6))</f>
        <v>0</v>
      </c>
      <c r="OM4" s="33">
        <f>IF(OM$42="有","见左",ROUND(SUMIF($B$41:$QL$41,OM$41,$B$44:$QL$44),赔率设置!$F$6))</f>
        <v>0</v>
      </c>
      <c r="ON4" s="33">
        <f>IF(ON$42="有","见左",ROUND(SUMIF($B$41:$QL$41,ON$41,$B$44:$QL$44),赔率设置!$F$6))</f>
        <v>0</v>
      </c>
      <c r="OO4" s="33">
        <f>IF(OO$42="有","见左",ROUND(SUMIF($B$41:$QL$41,OO$41,$B$44:$QL$44),赔率设置!$F$6))</f>
        <v>0</v>
      </c>
      <c r="OP4" s="33">
        <f>IF(OP$42="有","见左",ROUND(SUMIF($B$41:$QL$41,OP$41,$B$44:$QL$44),赔率设置!$F$6))</f>
        <v>0</v>
      </c>
      <c r="OQ4" s="33">
        <f>IF(OQ$42="有","见左",ROUND(SUMIF($B$41:$QL$41,OQ$41,$B$44:$QL$44),赔率设置!$F$6))</f>
        <v>0</v>
      </c>
      <c r="OR4" s="33">
        <f>IF(OR$42="有","见左",ROUND(SUMIF($B$41:$QL$41,OR$41,$B$44:$QL$44),赔率设置!$F$6))</f>
        <v>0</v>
      </c>
      <c r="OS4" s="33">
        <f>IF(OS$42="有","见左",ROUND(SUMIF($B$41:$QL$41,OS$41,$B$44:$QL$44),赔率设置!$F$6))</f>
        <v>0</v>
      </c>
      <c r="OT4" s="33">
        <f>IF(OT$42="有","见左",ROUND(SUMIF($B$41:$QL$41,OT$41,$B$44:$QL$44),赔率设置!$F$6))</f>
        <v>0</v>
      </c>
      <c r="OU4" s="33">
        <f>IF(OU$42="有","见左",ROUND(SUMIF($B$41:$QL$41,OU$41,$B$44:$QL$44),赔率设置!$F$6))</f>
        <v>0</v>
      </c>
      <c r="OV4" s="33">
        <f>IF(OV$42="有","见左",ROUND(SUMIF($B$41:$QL$41,OV$41,$B$44:$QL$44),赔率设置!$F$6))</f>
        <v>0</v>
      </c>
      <c r="OW4" s="33">
        <f>IF(OW$42="有","见左",ROUND(SUMIF($B$41:$QL$41,OW$41,$B$44:$QL$44),赔率设置!$F$6))</f>
        <v>0</v>
      </c>
      <c r="OX4" s="33">
        <f>IF(OX$42="有","见左",ROUND(SUMIF($B$41:$QL$41,OX$41,$B$44:$QL$44),赔率设置!$F$6))</f>
        <v>0</v>
      </c>
      <c r="OY4" s="33">
        <f>IF(OY$42="有","见左",ROUND(SUMIF($B$41:$QL$41,OY$41,$B$44:$QL$44),赔率设置!$F$6))</f>
        <v>0</v>
      </c>
      <c r="OZ4" s="33">
        <f>IF(OZ$42="有","见左",ROUND(SUMIF($B$41:$QL$41,OZ$41,$B$44:$QL$44),赔率设置!$F$6))</f>
        <v>0</v>
      </c>
      <c r="PA4" s="33">
        <f>IF(PA$42="有","见左",ROUND(SUMIF($B$41:$QL$41,PA$41,$B$44:$QL$44),赔率设置!$F$6))</f>
        <v>0</v>
      </c>
      <c r="PB4" s="33">
        <f>IF(PB$42="有","见左",ROUND(SUMIF($B$41:$QL$41,PB$41,$B$44:$QL$44),赔率设置!$F$6))</f>
        <v>0</v>
      </c>
      <c r="PC4" s="33">
        <f>IF(PC$42="有","见左",ROUND(SUMIF($B$41:$QL$41,PC$41,$B$44:$QL$44),赔率设置!$F$6))</f>
        <v>0</v>
      </c>
      <c r="PD4" s="33">
        <f>IF(PD$42="有","见左",ROUND(SUMIF($B$41:$QL$41,PD$41,$B$44:$QL$44),赔率设置!$F$6))</f>
        <v>0</v>
      </c>
      <c r="PE4" s="33">
        <f>IF(PE$42="有","见左",ROUND(SUMIF($B$41:$QL$41,PE$41,$B$44:$QL$44),赔率设置!$F$6))</f>
        <v>0</v>
      </c>
      <c r="PF4" s="33">
        <f>IF(PF$42="有","见左",ROUND(SUMIF($B$41:$QL$41,PF$41,$B$44:$QL$44),赔率设置!$F$6))</f>
        <v>0</v>
      </c>
      <c r="PG4" s="33">
        <f>IF(PG$42="有","见左",ROUND(SUMIF($B$41:$QL$41,PG$41,$B$44:$QL$44),赔率设置!$F$6))</f>
        <v>0</v>
      </c>
      <c r="PH4" s="33">
        <f>IF(PH$42="有","见左",ROUND(SUMIF($B$41:$QL$41,PH$41,$B$44:$QL$44),赔率设置!$F$6))</f>
        <v>0</v>
      </c>
      <c r="PI4" s="33">
        <f>IF(PI$42="有","见左",ROUND(SUMIF($B$41:$QL$41,PI$41,$B$44:$QL$44),赔率设置!$F$6))</f>
        <v>0</v>
      </c>
      <c r="PJ4" s="33">
        <f>IF(PJ$42="有","见左",ROUND(SUMIF($B$41:$QL$41,PJ$41,$B$44:$QL$44),赔率设置!$F$6))</f>
        <v>0</v>
      </c>
      <c r="PK4" s="33">
        <f>IF(PK$42="有","见左",ROUND(SUMIF($B$41:$QL$41,PK$41,$B$44:$QL$44),赔率设置!$F$6))</f>
        <v>0</v>
      </c>
      <c r="PL4" s="33">
        <f>IF(PL$42="有","见左",ROUND(SUMIF($B$41:$QL$41,PL$41,$B$44:$QL$44),赔率设置!$F$6))</f>
        <v>0</v>
      </c>
      <c r="PM4" s="33">
        <f>IF(PM$42="有","见左",ROUND(SUMIF($B$41:$QL$41,PM$41,$B$44:$QL$44),赔率设置!$F$6))</f>
        <v>0</v>
      </c>
      <c r="PN4" s="33">
        <f>IF(PN$42="有","见左",ROUND(SUMIF($B$41:$QL$41,PN$41,$B$44:$QL$44),赔率设置!$F$6))</f>
        <v>0</v>
      </c>
      <c r="PO4" s="33">
        <f>IF(PO$42="有","见左",ROUND(SUMIF($B$41:$QL$41,PO$41,$B$44:$QL$44),赔率设置!$F$6))</f>
        <v>0</v>
      </c>
      <c r="PP4" s="33">
        <f>IF(PP$42="有","见左",ROUND(SUMIF($B$41:$QL$41,PP$41,$B$44:$QL$44),赔率设置!$F$6))</f>
        <v>0</v>
      </c>
      <c r="PQ4" s="33">
        <f>IF(PQ$42="有","见左",ROUND(SUMIF($B$41:$QL$41,PQ$41,$B$44:$QL$44),赔率设置!$F$6))</f>
        <v>0</v>
      </c>
      <c r="PR4" s="33">
        <f>IF(PR$42="有","见左",ROUND(SUMIF($B$41:$QL$41,PR$41,$B$44:$QL$44),赔率设置!$F$6))</f>
        <v>0</v>
      </c>
      <c r="PS4" s="33">
        <f>IF(PS$42="有","见左",ROUND(SUMIF($B$41:$QL$41,PS$41,$B$44:$QL$44),赔率设置!$F$6))</f>
        <v>0</v>
      </c>
      <c r="PT4" s="33">
        <f>IF(PT$42="有","见左",ROUND(SUMIF($B$41:$QL$41,PT$41,$B$44:$QL$44),赔率设置!$F$6))</f>
        <v>0</v>
      </c>
      <c r="PU4" s="33">
        <f>IF(PU$42="有","见左",ROUND(SUMIF($B$41:$QL$41,PU$41,$B$44:$QL$44),赔率设置!$F$6))</f>
        <v>0</v>
      </c>
      <c r="PV4" s="33">
        <f>IF(PV$42="有","见左",ROUND(SUMIF($B$41:$QL$41,PV$41,$B$44:$QL$44),赔率设置!$F$6))</f>
        <v>0</v>
      </c>
      <c r="PW4" s="33">
        <f>IF(PW$42="有","见左",ROUND(SUMIF($B$41:$QL$41,PW$41,$B$44:$QL$44),赔率设置!$F$6))</f>
        <v>0</v>
      </c>
      <c r="PX4" s="33">
        <f>IF(PX$42="有","见左",ROUND(SUMIF($B$41:$QL$41,PX$41,$B$44:$QL$44),赔率设置!$F$6))</f>
        <v>0</v>
      </c>
      <c r="PY4" s="33">
        <f>IF(PY$42="有","见左",ROUND(SUMIF($B$41:$QL$41,PY$41,$B$44:$QL$44),赔率设置!$F$6))</f>
        <v>0</v>
      </c>
      <c r="PZ4" s="33">
        <f>IF(PZ$42="有","见左",ROUND(SUMIF($B$41:$QL$41,PZ$41,$B$44:$QL$44),赔率设置!$F$6))</f>
        <v>0</v>
      </c>
      <c r="QA4" s="33">
        <f>IF(QA$42="有","见左",ROUND(SUMIF($B$41:$QL$41,QA$41,$B$44:$QL$44),赔率设置!$F$6))</f>
        <v>0</v>
      </c>
      <c r="QB4" s="33">
        <f>IF(QB$42="有","见左",ROUND(SUMIF($B$41:$QL$41,QB$41,$B$44:$QL$44),赔率设置!$F$6))</f>
        <v>0</v>
      </c>
      <c r="QC4" s="33">
        <f>IF(QC$42="有","见左",ROUND(SUMIF($B$41:$QL$41,QC$41,$B$44:$QL$44),赔率设置!$F$6))</f>
        <v>0</v>
      </c>
      <c r="QD4" s="33">
        <f>IF(QD$42="有","见左",ROUND(SUMIF($B$41:$QL$41,QD$41,$B$44:$QL$44),赔率设置!$F$6))</f>
        <v>0</v>
      </c>
      <c r="QE4" s="33">
        <f>IF(QE$42="有","见左",ROUND(SUMIF($B$41:$QL$41,QE$41,$B$44:$QL$44),赔率设置!$F$6))</f>
        <v>0</v>
      </c>
      <c r="QF4" s="33">
        <f>IF(QF$42="有","见左",ROUND(SUMIF($B$41:$QL$41,QF$41,$B$44:$QL$44),赔率设置!$F$6))</f>
        <v>0</v>
      </c>
      <c r="QG4" s="33">
        <f>IF(QG$42="有","见左",ROUND(SUMIF($B$41:$QL$41,QG$41,$B$44:$QL$44),赔率设置!$F$6))</f>
        <v>0</v>
      </c>
      <c r="QH4" s="33">
        <f>IF(QH$42="有","见左",ROUND(SUMIF($B$41:$QL$41,QH$41,$B$44:$QL$44),赔率设置!$F$6))</f>
        <v>0</v>
      </c>
      <c r="QI4" s="33">
        <f>IF(QI$42="有","见左",ROUND(SUMIF($B$41:$QL$41,QI$41,$B$44:$QL$44),赔率设置!$F$6))</f>
        <v>0</v>
      </c>
      <c r="QJ4" s="33">
        <f>IF(QJ$42="有","见左",ROUND(SUMIF($B$41:$QL$41,QJ$41,$B$44:$QL$44),赔率设置!$F$6))</f>
        <v>0</v>
      </c>
      <c r="QK4" s="33">
        <f>IF(QK$42="有","见左",ROUND(SUMIF($B$41:$QL$41,QK$41,$B$44:$QL$44),赔率设置!$F$6))</f>
        <v>0</v>
      </c>
      <c r="QL4" s="33">
        <f>IF(QL$42="有","见左",ROUND(SUMIF($B$41:$QL$41,QL$41,$B$44:$QL$44),赔率设置!$F$6))</f>
        <v>0</v>
      </c>
      <c r="QM4" s="33">
        <f>IF(QM$42="有","见左",ROUND(SUMIF($B$41:$QL$41,QM$41,$B$44:$QL$44),赔率设置!$F$6))</f>
        <v>0</v>
      </c>
      <c r="QN4" s="33">
        <f>IF(QN$42="有","见左",ROUND(SUMIF($B$41:$QL$41,QN$41,$B$44:$QL$44),赔率设置!$F$6))</f>
        <v>0</v>
      </c>
      <c r="QO4" s="33">
        <f>IF(QO$42="有","见左",ROUND(SUMIF($B$41:$QL$41,QO$41,$B$44:$QL$44),赔率设置!$F$6))</f>
        <v>0</v>
      </c>
      <c r="QP4" s="33">
        <f>IF(QP$42="有","见左",ROUND(SUMIF($B$41:$QL$41,QP$41,$B$44:$QL$44),赔率设置!$F$6))</f>
        <v>0</v>
      </c>
      <c r="QQ4" s="33">
        <f>IF(QQ$42="有","见左",ROUND(SUMIF($B$41:$QL$41,QQ$41,$B$44:$QL$44),赔率设置!$F$6))</f>
        <v>0</v>
      </c>
      <c r="QR4" s="33">
        <f>IF(QR$42="有","见左",ROUND(SUMIF($B$41:$QL$41,QR$41,$B$44:$QL$44),赔率设置!$F$6))</f>
        <v>0</v>
      </c>
      <c r="QS4" s="33">
        <f>IF(QS$42="有","见左",ROUND(SUMIF($B$41:$QL$41,QS$41,$B$44:$QL$44),赔率设置!$F$6))</f>
        <v>0</v>
      </c>
      <c r="QT4" s="33">
        <f>IF(QT$42="有","见左",ROUND(SUMIF($B$41:$QL$41,QT$41,$B$44:$QL$44),赔率设置!$F$6))</f>
        <v>0</v>
      </c>
      <c r="QU4" s="33">
        <f>IF(QU$42="有","见左",ROUND(SUMIF($B$41:$QL$41,QU$41,$B$44:$QL$44),赔率设置!$F$6))</f>
        <v>0</v>
      </c>
      <c r="QV4" s="33">
        <f>IF(QV$42="有","见左",ROUND(SUMIF($B$41:$QL$41,QV$41,$B$44:$QL$44),赔率设置!$F$6))</f>
        <v>0</v>
      </c>
      <c r="QW4" s="33">
        <f>IF(QW$42="有","见左",ROUND(SUMIF($B$41:$QL$41,QW$41,$B$44:$QL$44),赔率设置!$F$6))</f>
        <v>0</v>
      </c>
      <c r="QX4" s="33">
        <f>IF(QX$42="有","见左",ROUND(SUMIF($B$41:$QL$41,QX$41,$B$44:$QL$44),赔率设置!$F$6))</f>
        <v>0</v>
      </c>
      <c r="QY4" s="33">
        <f>IF(QY$42="有","见左",ROUND(SUMIF($B$41:$QL$41,QY$41,$B$44:$QL$44),赔率设置!$F$6))</f>
        <v>0</v>
      </c>
      <c r="QZ4" s="33">
        <f>IF(QZ$42="有","见左",ROUND(SUMIF($B$41:$QL$41,QZ$41,$B$44:$QL$44),赔率设置!$F$6))</f>
        <v>0</v>
      </c>
      <c r="RA4" s="33">
        <f>IF(RA$42="有","见左",ROUND(SUMIF($B$41:$QL$41,RA$41,$B$44:$QL$44),赔率设置!$F$6))</f>
        <v>0</v>
      </c>
      <c r="RB4" s="33">
        <f>IF(RB$42="有","见左",ROUND(SUMIF($B$41:$QL$41,RB$41,$B$44:$QL$44),赔率设置!$F$6))</f>
        <v>0</v>
      </c>
      <c r="RC4" s="33">
        <f>IF(RC$42="有","见左",ROUND(SUMIF($B$41:$QL$41,RC$41,$B$44:$QL$44),赔率设置!$F$6))</f>
        <v>0</v>
      </c>
      <c r="RD4" s="33">
        <f>IF(RD$42="有","见左",ROUND(SUMIF($B$41:$QL$41,RD$41,$B$44:$QL$44),赔率设置!$F$6))</f>
        <v>0</v>
      </c>
      <c r="RE4" s="33">
        <f>IF(RE$42="有","见左",ROUND(SUMIF($B$41:$QL$41,RE$41,$B$44:$QL$44),赔率设置!$F$6))</f>
        <v>0</v>
      </c>
      <c r="RF4" s="33">
        <f>IF(RF$42="有","见左",ROUND(SUMIF($B$41:$QL$41,RF$41,$B$44:$QL$44),赔率设置!$F$6))</f>
        <v>0</v>
      </c>
      <c r="RG4" s="33">
        <f>IF(RG$42="有","见左",ROUND(SUMIF($B$41:$QL$41,RG$41,$B$44:$QL$44),赔率设置!$F$6))</f>
        <v>0</v>
      </c>
      <c r="RH4" s="33">
        <f>IF(RH$42="有","见左",ROUND(SUMIF($B$41:$QL$41,RH$41,$B$44:$QL$44),赔率设置!$F$6))</f>
        <v>0</v>
      </c>
      <c r="RI4" s="33">
        <f>IF(RI$42="有","见左",ROUND(SUMIF($B$41:$QL$41,RI$41,$B$44:$QL$44),赔率设置!$F$6))</f>
        <v>0</v>
      </c>
      <c r="RJ4" s="5">
        <f t="shared" ref="RJ4:SD4" si="0">RJ5-RJ6</f>
        <v>0</v>
      </c>
      <c r="RK4" s="5">
        <f t="shared" si="0"/>
        <v>0</v>
      </c>
      <c r="RL4" s="5">
        <f t="shared" si="0"/>
        <v>0</v>
      </c>
      <c r="RM4" s="5">
        <f t="shared" si="0"/>
        <v>0</v>
      </c>
      <c r="RN4" s="5">
        <f t="shared" si="0"/>
        <v>0</v>
      </c>
      <c r="RO4" s="5">
        <f t="shared" si="0"/>
        <v>0</v>
      </c>
      <c r="RP4" s="5">
        <f t="shared" si="0"/>
        <v>0</v>
      </c>
      <c r="RQ4" s="5">
        <f t="shared" si="0"/>
        <v>0</v>
      </c>
      <c r="RR4" s="5">
        <f t="shared" si="0"/>
        <v>0</v>
      </c>
      <c r="RS4" s="5">
        <f t="shared" si="0"/>
        <v>0</v>
      </c>
      <c r="RT4" s="5">
        <f t="shared" si="0"/>
        <v>0</v>
      </c>
      <c r="RU4" s="5">
        <f t="shared" si="0"/>
        <v>0</v>
      </c>
      <c r="RV4" s="5">
        <f t="shared" si="0"/>
        <v>0</v>
      </c>
      <c r="RW4" s="5">
        <f t="shared" si="0"/>
        <v>0</v>
      </c>
      <c r="RX4" s="5">
        <f t="shared" si="0"/>
        <v>0</v>
      </c>
      <c r="RY4" s="5">
        <f t="shared" si="0"/>
        <v>0</v>
      </c>
      <c r="RZ4" s="5">
        <f t="shared" si="0"/>
        <v>0</v>
      </c>
      <c r="SA4" s="5">
        <f t="shared" si="0"/>
        <v>0</v>
      </c>
      <c r="SB4" s="5">
        <f t="shared" si="0"/>
        <v>0</v>
      </c>
      <c r="SC4" s="5">
        <f t="shared" si="0"/>
        <v>0</v>
      </c>
      <c r="SD4" s="5">
        <f t="shared" si="0"/>
        <v>0</v>
      </c>
    </row>
    <row r="5" spans="1:498" s="5" customFormat="1" ht="15" customHeight="1" x14ac:dyDescent="0.25">
      <c r="A5" s="49" t="s">
        <v>8</v>
      </c>
      <c r="B5" s="51">
        <f>IF(B$42="有","见左",ROUND(SUMIF($B$41:$QL$41,B$41,$B$43:$QL$43),赔率设置!F6))</f>
        <v>1017.7</v>
      </c>
      <c r="C5" s="51" t="str">
        <f>IF(C$42="有","见左",ROUND(SUMIF($B$43:$QL$43,C$42,$B43:$QL$43),赔率设置!G6))</f>
        <v>见左</v>
      </c>
      <c r="D5" s="51" t="str">
        <f>IF(D$42="有","见左",ROUND(SUMIF($B$43:$QL$43,D$42,$B43:$QL$43),赔率设置!H6))</f>
        <v>见左</v>
      </c>
      <c r="E5" s="51" t="str">
        <f>IF(E$42="有","见左",ROUND(SUMIF($B$43:$QL$43,E$42,$B43:$QL$43),赔率设置!I6))</f>
        <v>见左</v>
      </c>
      <c r="F5" s="51" t="str">
        <f>IF(F$42="有","见左",ROUND(SUMIF($B$43:$QL$43,F$42,$B43:$QL$43),赔率设置!J6))</f>
        <v>见左</v>
      </c>
      <c r="G5" s="51">
        <f>IF(G$42="有","见左",ROUND(SUMIF($B$43:$QL$43,G$42,$B43:$QL$43),赔率设置!K6))</f>
        <v>0</v>
      </c>
      <c r="H5" s="51" t="str">
        <f>IF(H$42="有","见左",ROUND(SUMIF($B$43:$QL$43,H$42,$B43:$QL$43),赔率设置!L6))</f>
        <v>见左</v>
      </c>
      <c r="I5" s="51" t="str">
        <f>IF(I$42="有","见左",ROUND(SUMIF($B$43:$QL$43,I$42,$B43:$QL$43),赔率设置!M6))</f>
        <v>见左</v>
      </c>
      <c r="J5" s="51" t="str">
        <f>IF(J$42="有","见左",ROUND(SUMIF($B$43:$QL$43,J$42,$B43:$QL$43),赔率设置!N6))</f>
        <v>见左</v>
      </c>
      <c r="K5" s="51" t="str">
        <f>IF(K$42="有","见左",ROUND(SUMIF($B$43:$QL$43,K$42,$B43:$QL$43),赔率设置!O6))</f>
        <v>见左</v>
      </c>
      <c r="L5" s="51">
        <f>IF(L$42="有","见左",ROUND(SUMIF($B$43:$QL$43,L$42,$B43:$QL$43),赔率设置!P6))</f>
        <v>0</v>
      </c>
      <c r="M5" s="51" t="str">
        <f>IF(M$42="有","见左",ROUND(SUMIF($B$43:$QL$43,M$42,$B43:$QL$43),赔率设置!Q6))</f>
        <v>见左</v>
      </c>
      <c r="N5" s="51" t="str">
        <f>IF(N$42="有","见左",ROUND(SUMIF($B$43:$QL$43,N$42,$B43:$QL$43),赔率设置!R6))</f>
        <v>见左</v>
      </c>
      <c r="O5" s="51" t="str">
        <f>IF(O$42="有","见左",ROUND(SUMIF($B$43:$QL$43,O$42,$B43:$QL$43),赔率设置!S6))</f>
        <v>见左</v>
      </c>
      <c r="P5" s="51" t="str">
        <f>IF(P$42="有","见左",ROUND(SUMIF($B$43:$QL$43,P$42,$B43:$QL$43),赔率设置!T6))</f>
        <v>见左</v>
      </c>
      <c r="Q5" s="51">
        <f>IF(Q$42="有","见左",ROUND(SUMIF($B$43:$QL$43,Q$42,$B43:$QL$43),赔率设置!U6))</f>
        <v>0</v>
      </c>
      <c r="R5" s="51" t="str">
        <f>IF(R$42="有","见左",ROUND(SUMIF($B$43:$QL$43,R$42,$B43:$QL$43),赔率设置!V6))</f>
        <v>见左</v>
      </c>
      <c r="S5" s="51" t="str">
        <f>IF(S$42="有","见左",ROUND(SUMIF($B$43:$QL$43,S$42,$B43:$QL$43),赔率设置!W6))</f>
        <v>见左</v>
      </c>
      <c r="T5" s="51">
        <f>IF(T$42="有","见左",ROUND(SUMIF($B$43:$QL$43,T$42,$B43:$QL$43),赔率设置!X6))</f>
        <v>0</v>
      </c>
      <c r="U5" s="51">
        <f>IF(U$42="有","见左",ROUND(SUMIF($B$43:$QL$43,U$42,$B43:$QL$43),赔率设置!Y6))</f>
        <v>0</v>
      </c>
      <c r="V5" s="51">
        <f>IF(V$42="有","见左",ROUND(SUMIF($B$43:$QL$43,V$42,$B43:$QL$43),赔率设置!Z6))</f>
        <v>0</v>
      </c>
      <c r="W5" s="51">
        <f>IF(W$42="有","见左",ROUND(SUMIF($B$43:$QL$43,W$42,$B43:$QL$43),赔率设置!AA6))</f>
        <v>0</v>
      </c>
      <c r="X5" s="51">
        <f>IF(X$42="有","见左",ROUND(SUMIF($B$43:$QL$43,X$42,$B43:$QL$43),赔率设置!AB6))</f>
        <v>0</v>
      </c>
      <c r="Y5" s="51">
        <f>IF(Y$42="有","见左",ROUND(SUMIF($B$43:$QL$43,Y$42,$B43:$QL$43),赔率设置!AC6))</f>
        <v>0</v>
      </c>
      <c r="Z5" s="51">
        <f>IF(Z$42="有","见左",ROUND(SUMIF($B$43:$QL$43,Z$42,$B43:$QL$43),赔率设置!AD6))</f>
        <v>0</v>
      </c>
      <c r="AA5" s="51">
        <f>IF(AA$42="有","见左",ROUND(SUMIF($B$43:$QL$43,AA$42,$B43:$QL$43),赔率设置!AE6))</f>
        <v>0</v>
      </c>
      <c r="AB5" s="51">
        <f>IF(AB$42="有","见左",ROUND(SUMIF($B$43:$QL$43,AB$42,$B43:$QL$43),赔率设置!AF6))</f>
        <v>0</v>
      </c>
      <c r="AC5" s="51">
        <f>IF(AC$42="有","见左",ROUND(SUMIF($B$43:$QL$43,AC$42,$B43:$QL$43),赔率设置!AG6))</f>
        <v>0</v>
      </c>
      <c r="AD5" s="51">
        <f>IF(AD$42="有","见左",ROUND(SUMIF($B$43:$QL$43,AD$42,$B43:$QL$43),赔率设置!AH6))</f>
        <v>0</v>
      </c>
      <c r="AE5" s="51">
        <f>IF(AE$42="有","见左",ROUND(SUMIF($B$43:$QL$43,AE$42,$B43:$QL$43),赔率设置!AI6))</f>
        <v>0</v>
      </c>
      <c r="AF5" s="38">
        <f>IF(AF$42="有","见左",ROUND(SUMIF($B$43:$QL$43,AF$42,$B43:$QL$43),赔率设置!AJ6))</f>
        <v>0</v>
      </c>
      <c r="AG5" s="38">
        <f>IF(AG$42="有","见左",ROUND(SUMIF($B$43:$QL$43,AG$42,$B43:$QL$43),赔率设置!AK6))</f>
        <v>0</v>
      </c>
      <c r="AH5" s="5">
        <f>IF(AH$42="有","见左",ROUND(SUMIF($B$43:$QL$43,AH$42,$B43:$QL$43),赔率设置!AL6))</f>
        <v>0</v>
      </c>
      <c r="AI5" s="5">
        <f>IF(AI$42="有","见左",ROUND(SUMIF($B$43:$QL$43,AI$42,$B43:$QL$43),赔率设置!AM6))</f>
        <v>0</v>
      </c>
      <c r="AJ5" s="5">
        <f>IF(AJ$42="有","见左",ROUND(SUMIF($B$43:$QL$43,AJ$42,$B43:$QL$43),赔率设置!AN6))</f>
        <v>0</v>
      </c>
      <c r="AK5" s="5">
        <f>IF(AK$42="有","见左",ROUND(SUMIF($B$43:$QL$43,AK$42,$B43:$QL$43),赔率设置!AO6))</f>
        <v>0</v>
      </c>
      <c r="AL5" s="5">
        <f>IF(AL$42="有","见左",ROUND(SUMIF($B$43:$QL$43,AL$42,$B43:$QL$43),赔率设置!AP6))</f>
        <v>0</v>
      </c>
      <c r="AM5" s="5">
        <f>IF(AM$42="有","见左",ROUND(SUMIF($B$43:$QL$43,AM$42,$B43:$QL$43),赔率设置!AQ6))</f>
        <v>0</v>
      </c>
      <c r="AN5" s="5">
        <f>IF(AN$42="有","见左",ROUND(SUMIF($B$43:$QL$43,AN$42,$B43:$QL$43),赔率设置!AR6))</f>
        <v>0</v>
      </c>
      <c r="AO5" s="5">
        <f>IF(AO$42="有","见左",ROUND(SUMIF($B$43:$QL$43,AO$42,$B43:$QL$43),赔率设置!AS6))</f>
        <v>0</v>
      </c>
      <c r="AP5" s="5">
        <f>IF(AP$42="有","见左",ROUND(SUMIF($B$43:$QL$43,AP$42,$B43:$QL$43),赔率设置!AT6))</f>
        <v>0</v>
      </c>
      <c r="AQ5" s="5">
        <f>IF(AQ$42="有","见左",ROUND(SUMIF($B$43:$QL$43,AQ$42,$B43:$QL$43),赔率设置!AU6))</f>
        <v>0</v>
      </c>
      <c r="AR5" s="5">
        <f>IF(AR$42="有","见左",ROUND(SUMIF($B$43:$QL$43,AR$42,$B43:$QL$43),赔率设置!AV6))</f>
        <v>0</v>
      </c>
      <c r="AS5" s="5">
        <f>IF(AS$42="有","见左",ROUND(SUMIF($B$43:$QL$43,AS$42,$B43:$QL$43),赔率设置!AW6))</f>
        <v>0</v>
      </c>
      <c r="AT5" s="5">
        <f>IF(AT$42="有","见左",ROUND(SUMIF($B$43:$QL$43,AT$42,$B43:$QL$43),赔率设置!AX6))</f>
        <v>0</v>
      </c>
      <c r="AU5" s="5">
        <f>IF(AU$42="有","见左",ROUND(SUMIF($B$43:$QL$43,AU$42,$B43:$QL$43),赔率设置!AY6))</f>
        <v>0</v>
      </c>
      <c r="AV5" s="5">
        <f>IF(AV$42="有","见左",ROUND(SUMIF($B$43:$QL$43,AV$42,$B43:$QL$43),赔率设置!AZ6))</f>
        <v>0</v>
      </c>
      <c r="AW5" s="5">
        <f>IF(AW$42="有","见左",ROUND(SUMIF($B$43:$QL$43,AW$42,$B43:$QL$43),赔率设置!BA6))</f>
        <v>0</v>
      </c>
      <c r="AX5" s="5">
        <f>IF(AX$42="有","见左",ROUND(SUMIF($B$43:$QL$43,AX$42,$B43:$QL$43),赔率设置!BB6))</f>
        <v>0</v>
      </c>
      <c r="AY5" s="5">
        <f>IF(AY$42="有","见左",ROUND(SUMIF($B$43:$QL$43,AY$42,$B43:$QL$43),赔率设置!BC6))</f>
        <v>0</v>
      </c>
      <c r="AZ5" s="5">
        <f>IF(AZ$42="有","见左",ROUND(SUMIF($B$43:$QL$43,AZ$42,$B43:$QL$43),赔率设置!BD6))</f>
        <v>0</v>
      </c>
      <c r="BA5" s="5">
        <f>IF(BA$42="有","见左",ROUND(SUMIF($B$43:$QL$43,BA$42,$B43:$QL$43),赔率设置!BE6))</f>
        <v>0</v>
      </c>
      <c r="BB5" s="5">
        <f>IF(BB$42="有","见左",ROUND(SUMIF($B$43:$QL$43,BB$42,$B43:$QL$43),赔率设置!BF6))</f>
        <v>0</v>
      </c>
      <c r="BC5" s="5">
        <f>IF(BC$42="有","见左",ROUND(SUMIF($B$43:$QL$43,BC$42,$B43:$QL$43),赔率设置!BG6))</f>
        <v>0</v>
      </c>
      <c r="BD5" s="5">
        <f>IF(BD$42="有","见左",ROUND(SUMIF($B$43:$QL$43,BD$42,$B43:$QL$43),赔率设置!BH6))</f>
        <v>0</v>
      </c>
      <c r="BE5" s="5">
        <f>IF(BE$42="有","见左",ROUND(SUMIF($B$43:$QL$43,BE$42,$B43:$QL$43),赔率设置!BI6))</f>
        <v>0</v>
      </c>
      <c r="BF5" s="5">
        <f>IF(BF$42="有","见左",ROUND(SUMIF($B$43:$QL$43,BF$42,$B43:$QL$43),赔率设置!BJ6))</f>
        <v>0</v>
      </c>
      <c r="BG5" s="5">
        <f>IF(BG$42="有","见左",ROUND(SUMIF($B$43:$QL$43,BG$42,$B43:$QL$43),赔率设置!BK6))</f>
        <v>0</v>
      </c>
      <c r="BH5" s="5">
        <f>IF(BH$42="有","见左",ROUND(SUMIF($B$43:$QL$43,BH$42,$B43:$QL$43),赔率设置!BL6))</f>
        <v>0</v>
      </c>
      <c r="BI5" s="5">
        <f>IF(BI$42="有","见左",ROUND(SUMIF($B$43:$QL$43,BI$42,$B43:$QL$43),赔率设置!BM6))</f>
        <v>0</v>
      </c>
      <c r="BJ5" s="5">
        <f>IF(BJ$42="有","见左",ROUND(SUMIF($B$43:$QL$43,BJ$42,$B43:$QL$43),赔率设置!BN6))</f>
        <v>0</v>
      </c>
      <c r="BK5" s="5">
        <f>IF(BK$42="有","见左",ROUND(SUMIF($B$43:$QL$43,BK$42,$B43:$QL$43),赔率设置!BO6))</f>
        <v>0</v>
      </c>
      <c r="BL5" s="5">
        <f>IF(BL$42="有","见左",ROUND(SUMIF($B$43:$QL$43,BL$42,$B43:$QL$43),赔率设置!BP6))</f>
        <v>0</v>
      </c>
      <c r="BM5" s="5">
        <f>IF(BM$42="有","见左",ROUND(SUMIF($B$43:$QL$43,BM$42,$B43:$QL$43),赔率设置!BQ6))</f>
        <v>0</v>
      </c>
      <c r="BN5" s="5">
        <f>IF(BN$42="有","见左",ROUND(SUMIF($B$43:$QL$43,BN$42,$B43:$QL$43),赔率设置!BR6))</f>
        <v>0</v>
      </c>
      <c r="BO5" s="5">
        <f>IF(BO$42="有","见左",ROUND(SUMIF($B$43:$QL$43,BO$42,$B43:$QL$43),赔率设置!BS6))</f>
        <v>0</v>
      </c>
      <c r="BP5" s="5">
        <f>IF(BP$42="有","见左",ROUND(SUMIF($B$43:$QL$43,BP$42,$B43:$QL$43),赔率设置!BT6))</f>
        <v>0</v>
      </c>
      <c r="BQ5" s="5">
        <f>IF(BQ$42="有","见左",ROUND(SUMIF($B$43:$QL$43,BQ$42,$B43:$QL$43),赔率设置!BU6))</f>
        <v>0</v>
      </c>
      <c r="BR5" s="5">
        <f>IF(BR$42="有","见左",ROUND(SUMIF($B$43:$QL$43,BR$42,$B43:$QL$43),赔率设置!BV6))</f>
        <v>0</v>
      </c>
      <c r="BS5" s="5">
        <f>IF(BS$42="有","见左",ROUND(SUMIF($B$43:$QL$43,BS$42,$B43:$QL$43),赔率设置!BW6))</f>
        <v>0</v>
      </c>
      <c r="BT5" s="5">
        <f>IF(BT$42="有","见左",ROUND(SUMIF($B$43:$QL$43,BT$42,$B43:$QL$43),赔率设置!BX6))</f>
        <v>0</v>
      </c>
      <c r="BU5" s="5">
        <f>IF(BU$42="有","见左",ROUND(SUMIF($B$43:$QL$43,BU$42,$B43:$QL$43),赔率设置!BY6))</f>
        <v>0</v>
      </c>
      <c r="BV5" s="5">
        <f>IF(BV$42="有","见左",ROUND(SUMIF($B$43:$QL$43,BV$42,$B43:$QL$43),赔率设置!BZ6))</f>
        <v>0</v>
      </c>
      <c r="BW5" s="5">
        <f>IF(BW$42="有","见左",ROUND(SUMIF($B$43:$QL$43,BW$42,$B43:$QL$43),赔率设置!CA6))</f>
        <v>0</v>
      </c>
      <c r="BX5" s="5">
        <f>IF(BX$42="有","见左",ROUND(SUMIF($B$43:$QL$43,BX$42,$B43:$QL$43),赔率设置!CB6))</f>
        <v>0</v>
      </c>
      <c r="BY5" s="5">
        <f>IF(BY$42="有","见左",ROUND(SUMIF($B$43:$QL$43,BY$42,$B43:$QL$43),赔率设置!CC6))</f>
        <v>0</v>
      </c>
      <c r="BZ5" s="5">
        <f>IF(BZ$42="有","见左",ROUND(SUMIF($B$43:$QL$43,BZ$42,$B43:$QL$43),赔率设置!CD6))</f>
        <v>0</v>
      </c>
      <c r="CA5" s="5">
        <f>IF(CA$42="有","见左",ROUND(SUMIF($B$43:$QL$43,CA$42,$B43:$QL$43),赔率设置!CE6))</f>
        <v>0</v>
      </c>
      <c r="CB5" s="5">
        <f>IF(CB$42="有","见左",ROUND(SUMIF($B$43:$QL$43,CB$42,$B43:$QL$43),赔率设置!CF6))</f>
        <v>0</v>
      </c>
      <c r="CC5" s="5">
        <f>IF(CC$42="有","见左",ROUND(SUMIF($B$43:$QL$43,CC$42,$B43:$QL$43),赔率设置!CG6))</f>
        <v>0</v>
      </c>
      <c r="CD5" s="5">
        <f>IF(CD$42="有","见左",ROUND(SUMIF($B$43:$QL$43,CD$42,$B43:$QL$43),赔率设置!CH6))</f>
        <v>0</v>
      </c>
      <c r="CE5" s="5">
        <f>IF(CE$42="有","见左",ROUND(SUMIF($B$43:$QL$43,CE$42,$B43:$QL$43),赔率设置!CI6))</f>
        <v>0</v>
      </c>
      <c r="CF5" s="5">
        <f>IF(CF$42="有","见左",ROUND(SUMIF($B$43:$QL$43,CF$42,$B43:$QL$43),赔率设置!CJ6))</f>
        <v>0</v>
      </c>
      <c r="CG5" s="5">
        <f>IF(CG$42="有","见左",ROUND(SUMIF($B$43:$QL$43,CG$42,$B43:$QL$43),赔率设置!CK6))</f>
        <v>0</v>
      </c>
      <c r="CH5" s="5">
        <f>IF(CH$42="有","见左",ROUND(SUMIF($B$43:$QL$43,CH$42,$B43:$QL$43),赔率设置!CL6))</f>
        <v>0</v>
      </c>
      <c r="CI5" s="5">
        <f>IF(CI$42="有","见左",ROUND(SUMIF($B$43:$QL$43,CI$42,$B43:$QL$43),赔率设置!CM6))</f>
        <v>0</v>
      </c>
      <c r="CJ5" s="5">
        <f>IF(CJ$42="有","见左",ROUND(SUMIF($B$43:$QL$43,CJ$42,$B43:$QL$43),赔率设置!CN6))</f>
        <v>0</v>
      </c>
      <c r="CK5" s="5">
        <f>IF(CK$42="有","见左",ROUND(SUMIF($B$43:$QL$43,CK$42,$B43:$QL$43),赔率设置!CO6))</f>
        <v>0</v>
      </c>
      <c r="CL5" s="5">
        <f>IF(CL$42="有","见左",ROUND(SUMIF($B$43:$QL$43,CL$42,$B43:$QL$43),赔率设置!CP6))</f>
        <v>0</v>
      </c>
      <c r="CM5" s="5">
        <f>IF(CM$42="有","见左",ROUND(SUMIF($B$43:$QL$43,CM$42,$B43:$QL$43),赔率设置!CQ6))</f>
        <v>0</v>
      </c>
      <c r="CN5" s="5">
        <f>IF(CN$42="有","见左",ROUND(SUMIF($B$43:$QL$43,CN$42,$B43:$QL$43),赔率设置!CR6))</f>
        <v>0</v>
      </c>
      <c r="CO5" s="5">
        <f>IF(CO$42="有","见左",ROUND(SUMIF($B$43:$QL$43,CO$42,$B43:$QL$43),赔率设置!CS6))</f>
        <v>0</v>
      </c>
      <c r="CP5" s="5">
        <f>IF(CP$42="有","见左",ROUND(SUMIF($B$43:$QL$43,CP$42,$B43:$QL$43),赔率设置!CT6))</f>
        <v>0</v>
      </c>
      <c r="CQ5" s="5">
        <f>IF(CQ$42="有","见左",ROUND(SUMIF($B$43:$QL$43,CQ$42,$B43:$QL$43),赔率设置!CU6))</f>
        <v>0</v>
      </c>
      <c r="CR5" s="5">
        <f>IF(CR$42="有","见左",ROUND(SUMIF($B$43:$QL$43,CR$42,$B43:$QL$43),赔率设置!CV6))</f>
        <v>0</v>
      </c>
      <c r="CS5" s="5">
        <f>IF(CS$42="有","见左",ROUND(SUMIF($B$43:$QL$43,CS$42,$B43:$QL$43),赔率设置!CW6))</f>
        <v>0</v>
      </c>
      <c r="CT5" s="5">
        <f>IF(CT$42="有","见左",ROUND(SUMIF($B$43:$QL$43,CT$42,$B43:$QL$43),赔率设置!CX6))</f>
        <v>0</v>
      </c>
      <c r="CU5" s="5">
        <f>IF(CU$42="有","见左",ROUND(SUMIF($B$43:$QL$43,CU$42,$B43:$QL$43),赔率设置!CY6))</f>
        <v>0</v>
      </c>
      <c r="CV5" s="5">
        <f>IF(CV$42="有","见左",ROUND(SUMIF($B$43:$QL$43,CV$42,$B43:$QL$43),赔率设置!CZ6))</f>
        <v>0</v>
      </c>
      <c r="CW5" s="5">
        <f>IF(CW$42="有","见左",ROUND(SUMIF($B$43:$QL$43,CW$42,$B43:$QL$43),赔率设置!DA6))</f>
        <v>0</v>
      </c>
      <c r="CX5" s="5">
        <f>IF(CX$42="有","见左",ROUND(SUMIF($B$43:$QL$43,CX$42,$B43:$QL$43),赔率设置!DB6))</f>
        <v>0</v>
      </c>
      <c r="CY5" s="5">
        <f>IF(CY$42="有","见左",ROUND(SUMIF($B$43:$QL$43,CY$42,$B43:$QL$43),赔率设置!DC6))</f>
        <v>0</v>
      </c>
      <c r="CZ5" s="5">
        <f>IF(CZ$42="有","见左",ROUND(SUMIF($B$43:$QL$43,CZ$42,$B43:$QL$43),赔率设置!DD6))</f>
        <v>0</v>
      </c>
      <c r="DA5" s="5">
        <f>IF(DA$42="有","见左",ROUND(SUMIF($B$43:$QL$43,DA$42,$B43:$QL$43),赔率设置!DE6))</f>
        <v>0</v>
      </c>
      <c r="DB5" s="5">
        <f>IF(DB$42="有","见左",ROUND(SUMIF($B$43:$QL$43,DB$42,$B43:$QL$43),赔率设置!DF6))</f>
        <v>0</v>
      </c>
      <c r="DC5" s="5">
        <f>IF(DC$42="有","见左",ROUND(SUMIF($B$43:$QL$43,DC$42,$B43:$QL$43),赔率设置!DG6))</f>
        <v>0</v>
      </c>
      <c r="DD5" s="5">
        <f>IF(DD$42="有","见左",ROUND(SUMIF($B$43:$QL$43,DD$42,$B43:$QL$43),赔率设置!DH6))</f>
        <v>0</v>
      </c>
      <c r="DE5" s="5">
        <f>IF(DE$42="有","见左",ROUND(SUMIF($B$43:$QL$43,DE$42,$B43:$QL$43),赔率设置!DI6))</f>
        <v>0</v>
      </c>
      <c r="DF5" s="5">
        <f>IF(DF$42="有","见左",ROUND(SUMIF($B$43:$QL$43,DF$42,$B43:$QL$43),赔率设置!DJ6))</f>
        <v>0</v>
      </c>
      <c r="DG5" s="5">
        <f>IF(DG$42="有","见左",ROUND(SUMIF($B$43:$QL$43,DG$42,$B43:$QL$43),赔率设置!DK6))</f>
        <v>0</v>
      </c>
      <c r="DH5" s="5">
        <f>IF(DH$42="有","见左",ROUND(SUMIF($B$43:$QL$43,DH$42,$B43:$QL$43),赔率设置!DL6))</f>
        <v>0</v>
      </c>
      <c r="DI5" s="5">
        <f>IF(DI$42="有","见左",ROUND(SUMIF($B$43:$QL$43,DI$42,$B43:$QL$43),赔率设置!DM6))</f>
        <v>0</v>
      </c>
      <c r="DJ5" s="5">
        <f>IF(DJ$42="有","见左",ROUND(SUMIF($B$43:$QL$43,DJ$42,$B43:$QL$43),赔率设置!DN6))</f>
        <v>0</v>
      </c>
      <c r="DK5" s="5">
        <f>IF(DK$42="有","见左",ROUND(SUMIF($B$43:$QL$43,DK$42,$B43:$QL$43),赔率设置!DO6))</f>
        <v>0</v>
      </c>
      <c r="DL5" s="5">
        <f>IF(DL$42="有","见左",ROUND(SUMIF($B$43:$QL$43,DL$42,$B43:$QL$43),赔率设置!DP6))</f>
        <v>0</v>
      </c>
      <c r="DM5" s="5">
        <f>IF(DM$42="有","见左",ROUND(SUMIF($B$43:$QL$43,DM$42,$B43:$QL$43),赔率设置!DQ6))</f>
        <v>0</v>
      </c>
      <c r="DN5" s="5">
        <f>IF(DN$42="有","见左",ROUND(SUMIF($B$43:$QL$43,DN$42,$B43:$QL$43),赔率设置!DR6))</f>
        <v>0</v>
      </c>
      <c r="DO5" s="5">
        <f>IF(DO$42="有","见左",ROUND(SUMIF($B$43:$QL$43,DO$42,$B43:$QL$43),赔率设置!DS6))</f>
        <v>0</v>
      </c>
      <c r="DP5" s="5">
        <f>IF(DP$42="有","见左",ROUND(SUMIF($B$43:$QL$43,DP$42,$B43:$QL$43),赔率设置!DT6))</f>
        <v>0</v>
      </c>
      <c r="DQ5" s="5">
        <f>IF(DQ$42="有","见左",ROUND(SUMIF($B$43:$QL$43,DQ$42,$B43:$QL$43),赔率设置!DU6))</f>
        <v>0</v>
      </c>
      <c r="DR5" s="5">
        <f>IF(DR$42="有","见左",ROUND(SUMIF($B$43:$QL$43,DR$42,$B43:$QL$43),赔率设置!DV6))</f>
        <v>0</v>
      </c>
      <c r="DS5" s="5">
        <f>IF(DS$42="有","见左",ROUND(SUMIF($B$43:$QL$43,DS$42,$B43:$QL$43),赔率设置!DW6))</f>
        <v>0</v>
      </c>
      <c r="DT5" s="5">
        <f>IF(DT$42="有","见左",ROUND(SUMIF($B$43:$QL$43,DT$42,$B43:$QL$43),赔率设置!DX6))</f>
        <v>0</v>
      </c>
      <c r="DU5" s="5">
        <f>IF(DU$42="有","见左",ROUND(SUMIF($B$43:$QL$43,DU$42,$B43:$QL$43),赔率设置!DY6))</f>
        <v>0</v>
      </c>
      <c r="DV5" s="5">
        <f>IF(DV$42="有","见左",ROUND(SUMIF($B$43:$QL$43,DV$42,$B43:$QL$43),赔率设置!DZ6))</f>
        <v>0</v>
      </c>
      <c r="DW5" s="5">
        <f>IF(DW$42="有","见左",ROUND(SUMIF($B$43:$QL$43,DW$42,$B43:$QL$43),赔率设置!EA6))</f>
        <v>0</v>
      </c>
      <c r="DX5" s="5">
        <f>IF(DX$42="有","见左",ROUND(SUMIF($B$43:$QL$43,DX$42,$B43:$QL$43),赔率设置!EB6))</f>
        <v>0</v>
      </c>
      <c r="DY5" s="5">
        <f>IF(DY$42="有","见左",ROUND(SUMIF($B$43:$QL$43,DY$42,$B43:$QL$43),赔率设置!EC6))</f>
        <v>0</v>
      </c>
      <c r="DZ5" s="5">
        <f>IF(DZ$42="有","见左",ROUND(SUMIF($B$43:$QL$43,DZ$42,$B43:$QL$43),赔率设置!ED6))</f>
        <v>0</v>
      </c>
      <c r="EA5" s="5">
        <f>IF(EA$42="有","见左",ROUND(SUMIF($B$43:$QL$43,EA$42,$B43:$QL$43),赔率设置!EE6))</f>
        <v>0</v>
      </c>
      <c r="EB5" s="5">
        <f>IF(EB$42="有","见左",ROUND(SUMIF($B$43:$QL$43,EB$42,$B43:$QL$43),赔率设置!EF6))</f>
        <v>0</v>
      </c>
      <c r="EC5" s="5">
        <f>IF(EC$42="有","见左",ROUND(SUMIF($B$43:$QL$43,EC$42,$B43:$QL$43),赔率设置!EG6))</f>
        <v>0</v>
      </c>
      <c r="ED5" s="5">
        <f>IF(ED$42="有","见左",ROUND(SUMIF($B$43:$QL$43,ED$42,$B43:$QL$43),赔率设置!EH6))</f>
        <v>0</v>
      </c>
      <c r="EE5" s="5">
        <f>IF(EE$42="有","见左",ROUND(SUMIF($B$43:$QL$43,EE$42,$B43:$QL$43),赔率设置!EI6))</f>
        <v>0</v>
      </c>
      <c r="EF5" s="5">
        <f>IF(EF$42="有","见左",ROUND(SUMIF($B$43:$QL$43,EF$42,$B43:$QL$43),赔率设置!EJ6))</f>
        <v>0</v>
      </c>
      <c r="EG5" s="5">
        <f>IF(EG$42="有","见左",ROUND(SUMIF($B$43:$QL$43,EG$42,$B43:$QL$43),赔率设置!EK6))</f>
        <v>0</v>
      </c>
      <c r="EH5" s="5">
        <f>IF(EH$42="有","见左",ROUND(SUMIF($B$43:$QL$43,EH$42,$B43:$QL$43),赔率设置!EL6))</f>
        <v>0</v>
      </c>
      <c r="EI5" s="5">
        <f>IF(EI$42="有","见左",ROUND(SUMIF($B$43:$QL$43,EI$42,$B43:$QL$43),赔率设置!EM6))</f>
        <v>0</v>
      </c>
      <c r="EJ5" s="5">
        <f>IF(EJ$42="有","见左",ROUND(SUMIF($B$43:$QL$43,EJ$42,$B43:$QL$43),赔率设置!EN6))</f>
        <v>0</v>
      </c>
      <c r="EK5" s="5">
        <f>IF(EK$42="有","见左",ROUND(SUMIF($B$43:$QL$43,EK$42,$B43:$QL$43),赔率设置!EO6))</f>
        <v>0</v>
      </c>
      <c r="EL5" s="5">
        <f>IF(EL$42="有","见左",ROUND(SUMIF($B$43:$QL$43,EL$42,$B43:$QL$43),赔率设置!EP6))</f>
        <v>0</v>
      </c>
      <c r="EM5" s="5">
        <f>IF(EM$42="有","见左",ROUND(SUMIF($B$43:$QL$43,EM$42,$B43:$QL$43),赔率设置!EQ6))</f>
        <v>0</v>
      </c>
      <c r="EN5" s="5">
        <f>IF(EN$42="有","见左",ROUND(SUMIF($B$43:$QL$43,EN$42,$B43:$QL$43),赔率设置!ER6))</f>
        <v>0</v>
      </c>
      <c r="EO5" s="5">
        <f>IF(EO$42="有","见左",ROUND(SUMIF($B$43:$QL$43,EO$42,$B43:$QL$43),赔率设置!ES6))</f>
        <v>0</v>
      </c>
      <c r="EP5" s="5">
        <f>IF(EP$42="有","见左",ROUND(SUMIF($B$43:$QL$43,EP$42,$B43:$QL$43),赔率设置!ET6))</f>
        <v>0</v>
      </c>
      <c r="EQ5" s="5">
        <f>IF(EQ$42="有","见左",ROUND(SUMIF($B$43:$QL$43,EQ$42,$B43:$QL$43),赔率设置!EU6))</f>
        <v>0</v>
      </c>
      <c r="ER5" s="5">
        <f>IF(ER$42="有","见左",ROUND(SUMIF($B$43:$QL$43,ER$42,$B43:$QL$43),赔率设置!EV6))</f>
        <v>0</v>
      </c>
      <c r="ES5" s="5">
        <f>IF(ES$42="有","见左",ROUND(SUMIF($B$43:$QL$43,ES$42,$B43:$QL$43),赔率设置!EW6))</f>
        <v>0</v>
      </c>
      <c r="ET5" s="5">
        <f>IF(ET$42="有","见左",ROUND(SUMIF($B$43:$QL$43,ET$42,$B43:$QL$43),赔率设置!EX6))</f>
        <v>0</v>
      </c>
      <c r="EU5" s="5">
        <f>IF(EU$42="有","见左",ROUND(SUMIF($B$43:$QL$43,EU$42,$B43:$QL$43),赔率设置!EY6))</f>
        <v>0</v>
      </c>
      <c r="EV5" s="5">
        <f>IF(EV$42="有","见左",ROUND(SUMIF($B$43:$QL$43,EV$42,$B43:$QL$43),赔率设置!EZ6))</f>
        <v>0</v>
      </c>
      <c r="EW5" s="5">
        <f>IF(EW$42="有","见左",ROUND(SUMIF($B$43:$QL$43,EW$42,$B43:$QL$43),赔率设置!FA6))</f>
        <v>0</v>
      </c>
      <c r="EX5" s="5">
        <f>IF(EX$42="有","见左",ROUND(SUMIF($B$43:$QL$43,EX$42,$B43:$QL$43),赔率设置!FB6))</f>
        <v>0</v>
      </c>
      <c r="EY5" s="5">
        <f>IF(EY$42="有","见左",ROUND(SUMIF($B$43:$QL$43,EY$42,$B43:$QL$43),赔率设置!FC6))</f>
        <v>0</v>
      </c>
      <c r="EZ5" s="5">
        <f>IF(EZ$42="有","见左",ROUND(SUMIF($B$43:$QL$43,EZ$42,$B43:$QL$43),赔率设置!FD6))</f>
        <v>0</v>
      </c>
      <c r="FA5" s="5">
        <f>IF(FA$42="有","见左",ROUND(SUMIF($B$43:$QL$43,FA$42,$B43:$QL$43),赔率设置!FE6))</f>
        <v>0</v>
      </c>
      <c r="FB5" s="5">
        <f>IF(FB$42="有","见左",ROUND(SUMIF($B$43:$QL$43,FB$42,$B43:$QL$43),赔率设置!FF6))</f>
        <v>0</v>
      </c>
      <c r="FC5" s="5">
        <f>IF(FC$42="有","见左",ROUND(SUMIF($B$43:$QL$43,FC$42,$B43:$QL$43),赔率设置!FG6))</f>
        <v>0</v>
      </c>
      <c r="FD5" s="5">
        <f>IF(FD$42="有","见左",ROUND(SUMIF($B$43:$QL$43,FD$42,$B43:$QL$43),赔率设置!FH6))</f>
        <v>0</v>
      </c>
      <c r="FE5" s="5">
        <f>IF(FE$42="有","见左",ROUND(SUMIF($B$43:$QL$43,FE$42,$B43:$QL$43),赔率设置!FI6))</f>
        <v>0</v>
      </c>
      <c r="FF5" s="5">
        <f>IF(FF$42="有","见左",ROUND(SUMIF($B$43:$QL$43,FF$42,$B43:$QL$43),赔率设置!FJ6))</f>
        <v>0</v>
      </c>
      <c r="FG5" s="5">
        <f>IF(FG$42="有","见左",ROUND(SUMIF($B$43:$QL$43,FG$42,$B43:$QL$43),赔率设置!FK6))</f>
        <v>0</v>
      </c>
      <c r="FH5" s="5">
        <f>IF(FH$42="有","见左",ROUND(SUMIF($B$43:$QL$43,FH$42,$B43:$QL$43),赔率设置!FL6))</f>
        <v>0</v>
      </c>
      <c r="FI5" s="5">
        <f>IF(FI$42="有","见左",ROUND(SUMIF($B$43:$QL$43,FI$42,$B43:$QL$43),赔率设置!FM6))</f>
        <v>0</v>
      </c>
      <c r="FJ5" s="5">
        <f>IF(FJ$42="有","见左",ROUND(SUMIF($B$43:$QL$43,FJ$42,$B43:$QL$43),赔率设置!FN6))</f>
        <v>0</v>
      </c>
      <c r="FK5" s="5">
        <f>IF(FK$42="有","见左",ROUND(SUMIF($B$43:$QL$43,FK$42,$B43:$QL$43),赔率设置!FO6))</f>
        <v>0</v>
      </c>
      <c r="FL5" s="5">
        <f>IF(FL$42="有","见左",ROUND(SUMIF($B$43:$QL$43,FL$42,$B43:$QL$43),赔率设置!FP6))</f>
        <v>0</v>
      </c>
      <c r="FM5" s="5">
        <f>IF(FM$42="有","见左",ROUND(SUMIF($B$43:$QL$43,FM$42,$B43:$QL$43),赔率设置!FQ6))</f>
        <v>0</v>
      </c>
      <c r="FN5" s="5">
        <f>IF(FN$42="有","见左",ROUND(SUMIF($B$43:$QL$43,FN$42,$B43:$QL$43),赔率设置!FR6))</f>
        <v>0</v>
      </c>
      <c r="FO5" s="5">
        <f>IF(FO$42="有","见左",ROUND(SUMIF($B$43:$QL$43,FO$42,$B43:$QL$43),赔率设置!FS6))</f>
        <v>0</v>
      </c>
      <c r="FP5" s="5">
        <f>IF(FP$42="有","见左",ROUND(SUMIF($B$43:$QL$43,FP$42,$B43:$QL$43),赔率设置!FT6))</f>
        <v>0</v>
      </c>
      <c r="FQ5" s="5">
        <f>IF(FQ$42="有","见左",ROUND(SUMIF($B$43:$QL$43,FQ$42,$B43:$QL$43),赔率设置!FU6))</f>
        <v>0</v>
      </c>
      <c r="FR5" s="5">
        <f>IF(FR$42="有","见左",ROUND(SUMIF($B$43:$QL$43,FR$42,$B43:$QL$43),赔率设置!FV6))</f>
        <v>0</v>
      </c>
      <c r="FS5" s="5">
        <f>IF(FS$42="有","见左",ROUND(SUMIF($B$43:$QL$43,FS$42,$B43:$QL$43),赔率设置!FW6))</f>
        <v>0</v>
      </c>
      <c r="FT5" s="5">
        <f>IF(FT$42="有","见左",ROUND(SUMIF($B$43:$QL$43,FT$42,$B43:$QL$43),赔率设置!FX6))</f>
        <v>0</v>
      </c>
      <c r="FU5" s="5">
        <f>IF(FU$42="有","见左",ROUND(SUMIF($B$43:$QL$43,FU$42,$B43:$QL$43),赔率设置!FY6))</f>
        <v>0</v>
      </c>
      <c r="FV5" s="5">
        <f>IF(FV$42="有","见左",ROUND(SUMIF($B$43:$QL$43,FV$42,$B43:$QL$43),赔率设置!FZ6))</f>
        <v>0</v>
      </c>
      <c r="FW5" s="5">
        <f>IF(FW$42="有","见左",ROUND(SUMIF($B$43:$QL$43,FW$42,$B43:$QL$43),赔率设置!GA6))</f>
        <v>0</v>
      </c>
      <c r="FX5" s="5">
        <f>IF(FX$42="有","见左",ROUND(SUMIF($B$43:$QL$43,FX$42,$B43:$QL$43),赔率设置!GB6))</f>
        <v>0</v>
      </c>
      <c r="FY5" s="5">
        <f>IF(FY$42="有","见左",ROUND(SUMIF($B$43:$QL$43,FY$42,$B43:$QL$43),赔率设置!GC6))</f>
        <v>0</v>
      </c>
      <c r="FZ5" s="5">
        <f>IF(FZ$42="有","见左",ROUND(SUMIF($B$43:$QL$43,FZ$42,$B43:$QL$43),赔率设置!GD6))</f>
        <v>0</v>
      </c>
      <c r="GA5" s="5">
        <f>IF(GA$42="有","见左",ROUND(SUMIF($B$43:$QL$43,GA$42,$B43:$QL$43),赔率设置!GE6))</f>
        <v>0</v>
      </c>
      <c r="GB5" s="5">
        <f>IF(GB$42="有","见左",ROUND(SUMIF($B$43:$QL$43,GB$42,$B43:$QL$43),赔率设置!GF6))</f>
        <v>0</v>
      </c>
      <c r="GC5" s="5">
        <f>IF(GC$42="有","见左",ROUND(SUMIF($B$43:$QL$43,GC$42,$B43:$QL$43),赔率设置!GG6))</f>
        <v>0</v>
      </c>
      <c r="GD5" s="5">
        <f>IF(GD$42="有","见左",ROUND(SUMIF($B$43:$QL$43,GD$42,$B43:$QL$43),赔率设置!GH6))</f>
        <v>0</v>
      </c>
      <c r="GE5" s="5">
        <f>IF(GE$42="有","见左",ROUND(SUMIF($B$43:$QL$43,GE$42,$B43:$QL$43),赔率设置!GI6))</f>
        <v>0</v>
      </c>
      <c r="GF5" s="5">
        <f>IF(GF$42="有","见左",ROUND(SUMIF($B$43:$QL$43,GF$42,$B43:$QL$43),赔率设置!GJ6))</f>
        <v>0</v>
      </c>
      <c r="GG5" s="5">
        <f>IF(GG$42="有","见左",ROUND(SUMIF($B$43:$QL$43,GG$42,$B43:$QL$43),赔率设置!GK6))</f>
        <v>0</v>
      </c>
      <c r="GH5" s="5">
        <f>IF(GH$42="有","见左",ROUND(SUMIF($B$43:$QL$43,GH$42,$B43:$QL$43),赔率设置!GL6))</f>
        <v>0</v>
      </c>
      <c r="GI5" s="5">
        <f>IF(GI$42="有","见左",ROUND(SUMIF($B$43:$QL$43,GI$42,$B43:$QL$43),赔率设置!GM6))</f>
        <v>0</v>
      </c>
      <c r="GJ5" s="5">
        <f>IF(GJ$42="有","见左",ROUND(SUMIF($B$43:$QL$43,GJ$42,$B43:$QL$43),赔率设置!GN6))</f>
        <v>0</v>
      </c>
      <c r="GK5" s="5">
        <f>IF(GK$42="有","见左",ROUND(SUMIF($B$43:$QL$43,GK$42,$B43:$QL$43),赔率设置!GO6))</f>
        <v>0</v>
      </c>
      <c r="GL5" s="5">
        <f>IF(GL$42="有","见左",ROUND(SUMIF($B$43:$QL$43,GL$42,$B43:$QL$43),赔率设置!GP6))</f>
        <v>0</v>
      </c>
      <c r="GM5" s="5">
        <f>IF(GM$42="有","见左",ROUND(SUMIF($B$43:$QL$43,GM$42,$B43:$QL$43),赔率设置!GQ6))</f>
        <v>0</v>
      </c>
      <c r="GN5" s="5">
        <f>IF(GN$42="有","见左",ROUND(SUMIF($B$43:$QL$43,GN$42,$B43:$QL$43),赔率设置!GR6))</f>
        <v>0</v>
      </c>
      <c r="GO5" s="5">
        <f>IF(GO$42="有","见左",ROUND(SUMIF($B$43:$QL$43,GO$42,$B43:$QL$43),赔率设置!GS6))</f>
        <v>0</v>
      </c>
      <c r="GP5" s="5">
        <f>IF(GP$42="有","见左",ROUND(SUMIF($B$43:$QL$43,GP$42,$B43:$QL$43),赔率设置!GT6))</f>
        <v>0</v>
      </c>
      <c r="GQ5" s="5">
        <f>IF(GQ$42="有","见左",ROUND(SUMIF($B$43:$QL$43,GQ$42,$B43:$QL$43),赔率设置!GU6))</f>
        <v>0</v>
      </c>
      <c r="GR5" s="5">
        <f>IF(GR$42="有","见左",ROUND(SUMIF($B$43:$QL$43,GR$42,$B43:$QL$43),赔率设置!GV6))</f>
        <v>0</v>
      </c>
      <c r="GS5" s="5">
        <f>IF(GS$42="有","见左",ROUND(SUMIF($B$43:$QL$43,GS$42,$B43:$QL$43),赔率设置!GW6))</f>
        <v>0</v>
      </c>
      <c r="GT5" s="5">
        <f>IF(GT$42="有","见左",ROUND(SUMIF($B$43:$QL$43,GT$42,$B43:$QL$43),赔率设置!GX6))</f>
        <v>0</v>
      </c>
      <c r="GU5" s="5">
        <f>IF(GU$42="有","见左",ROUND(SUMIF($B$43:$QL$43,GU$42,$B43:$QL$43),赔率设置!GY6))</f>
        <v>0</v>
      </c>
      <c r="GV5" s="5">
        <f>IF(GV$42="有","见左",ROUND(SUMIF($B$43:$QL$43,GV$42,$B43:$QL$43),赔率设置!GZ6))</f>
        <v>0</v>
      </c>
      <c r="GW5" s="5">
        <f>IF(GW$42="有","见左",ROUND(SUMIF($B$43:$QL$43,GW$42,$B43:$QL$43),赔率设置!HA6))</f>
        <v>0</v>
      </c>
      <c r="GX5" s="5">
        <f>IF(GX$42="有","见左",ROUND(SUMIF($B$43:$QL$43,GX$42,$B43:$QL$43),赔率设置!HB6))</f>
        <v>0</v>
      </c>
      <c r="GY5" s="5">
        <f>IF(GY$42="有","见左",ROUND(SUMIF($B$43:$QL$43,GY$42,$B43:$QL$43),赔率设置!HC6))</f>
        <v>0</v>
      </c>
      <c r="GZ5" s="5">
        <f>IF(GZ$42="有","见左",ROUND(SUMIF($B$43:$QL$43,GZ$42,$B43:$QL$43),赔率设置!HD6))</f>
        <v>0</v>
      </c>
      <c r="HA5" s="5">
        <f>IF(HA$42="有","见左",ROUND(SUMIF($B$43:$QL$43,HA$42,$B43:$QL$43),赔率设置!HE6))</f>
        <v>0</v>
      </c>
      <c r="HB5" s="5">
        <f>IF(HB$42="有","见左",ROUND(SUMIF($B$43:$QL$43,HB$42,$B43:$QL$43),赔率设置!HF6))</f>
        <v>0</v>
      </c>
      <c r="HC5" s="5">
        <f>IF(HC$42="有","见左",ROUND(SUMIF($B$43:$QL$43,HC$42,$B43:$QL$43),赔率设置!HG6))</f>
        <v>0</v>
      </c>
      <c r="HD5" s="5">
        <f>IF(HD$42="有","见左",ROUND(SUMIF($B$43:$QL$43,HD$42,$B43:$QL$43),赔率设置!HH6))</f>
        <v>0</v>
      </c>
      <c r="HE5" s="5">
        <f>IF(HE$42="有","见左",ROUND(SUMIF($B$43:$QL$43,HE$42,$B43:$QL$43),赔率设置!HI6))</f>
        <v>0</v>
      </c>
      <c r="HF5" s="5">
        <f>IF(HF$42="有","见左",ROUND(SUMIF($B$43:$QL$43,HF$42,$B43:$QL$43),赔率设置!HJ6))</f>
        <v>0</v>
      </c>
      <c r="HG5" s="5">
        <f>IF(HG$42="有","见左",ROUND(SUMIF($B$43:$QL$43,HG$42,$B43:$QL$43),赔率设置!HK6))</f>
        <v>0</v>
      </c>
      <c r="HH5" s="5">
        <f>IF(HH$42="有","见左",ROUND(SUMIF($B$43:$QL$43,HH$42,$B43:$QL$43),赔率设置!HL6))</f>
        <v>0</v>
      </c>
      <c r="HI5" s="5">
        <f>IF(HI$42="有","见左",ROUND(SUMIF($B$43:$QL$43,HI$42,$B43:$QL$43),赔率设置!HM6))</f>
        <v>0</v>
      </c>
      <c r="HJ5" s="5">
        <f>IF(HJ$42="有","见左",ROUND(SUMIF($B$43:$QL$43,HJ$42,$B43:$QL$43),赔率设置!HN6))</f>
        <v>0</v>
      </c>
      <c r="HK5" s="5">
        <f>IF(HK$42="有","见左",ROUND(SUMIF($B$43:$QL$43,HK$42,$B43:$QL$43),赔率设置!HO6))</f>
        <v>0</v>
      </c>
      <c r="HL5" s="5">
        <f>IF(HL$42="有","见左",ROUND(SUMIF($B$43:$QL$43,HL$42,$B43:$QL$43),赔率设置!HP6))</f>
        <v>0</v>
      </c>
      <c r="HM5" s="5">
        <f>IF(HM$42="有","见左",ROUND(SUMIF($B$43:$QL$43,HM$42,$B43:$QL$43),赔率设置!HQ6))</f>
        <v>0</v>
      </c>
      <c r="HN5" s="5">
        <f>IF(HN$42="有","见左",ROUND(SUMIF($B$43:$QL$43,HN$42,$B43:$QL$43),赔率设置!HR6))</f>
        <v>0</v>
      </c>
      <c r="HO5" s="5">
        <f>IF(HO$42="有","见左",ROUND(SUMIF($B$43:$QL$43,HO$42,$B43:$QL$43),赔率设置!HS6))</f>
        <v>0</v>
      </c>
      <c r="HP5" s="5">
        <f>IF(HP$42="有","见左",ROUND(SUMIF($B$43:$QL$43,HP$42,$B43:$QL$43),赔率设置!HT6))</f>
        <v>0</v>
      </c>
      <c r="HQ5" s="5">
        <f>IF(HQ$42="有","见左",ROUND(SUMIF($B$43:$QL$43,HQ$42,$B43:$QL$43),赔率设置!HU6))</f>
        <v>0</v>
      </c>
      <c r="HR5" s="5">
        <f>IF(HR$42="有","见左",ROUND(SUMIF($B$43:$QL$43,HR$42,$B43:$QL$43),赔率设置!HV6))</f>
        <v>0</v>
      </c>
      <c r="HS5" s="5">
        <f>IF(HS$42="有","见左",ROUND(SUMIF($B$43:$QL$43,HS$42,$B43:$QL$43),赔率设置!HW6))</f>
        <v>0</v>
      </c>
      <c r="HT5" s="5">
        <f>IF(HT$42="有","见左",ROUND(SUMIF($B$43:$QL$43,HT$42,$B43:$QL$43),赔率设置!HX6))</f>
        <v>0</v>
      </c>
      <c r="HU5" s="5">
        <f>IF(HU$42="有","见左",ROUND(SUMIF($B$43:$QL$43,HU$42,$B43:$QL$43),赔率设置!HY6))</f>
        <v>0</v>
      </c>
      <c r="HV5" s="5">
        <f>IF(HV$42="有","见左",ROUND(SUMIF($B$43:$QL$43,HV$42,$B43:$QL$43),赔率设置!HZ6))</f>
        <v>0</v>
      </c>
      <c r="HW5" s="5">
        <f>IF(HW$42="有","见左",ROUND(SUMIF($B$43:$QL$43,HW$42,$B43:$QL$43),赔率设置!IA6))</f>
        <v>0</v>
      </c>
      <c r="HX5" s="5">
        <f>IF(HX$42="有","见左",ROUND(SUMIF($B$43:$QL$43,HX$42,$B43:$QL$43),赔率设置!IB6))</f>
        <v>0</v>
      </c>
      <c r="HY5" s="5">
        <f>IF(HY$42="有","见左",ROUND(SUMIF($B$43:$QL$43,HY$42,$B43:$QL$43),赔率设置!IC6))</f>
        <v>0</v>
      </c>
      <c r="HZ5" s="5">
        <f>IF(HZ$42="有","见左",ROUND(SUMIF($B$43:$QL$43,HZ$42,$B43:$QL$43),赔率设置!ID6))</f>
        <v>0</v>
      </c>
      <c r="IA5" s="5">
        <f>IF(IA$42="有","见左",ROUND(SUMIF($B$43:$QL$43,IA$42,$B43:$QL$43),赔率设置!IE6))</f>
        <v>0</v>
      </c>
      <c r="IB5" s="5">
        <f>IF(IB$42="有","见左",ROUND(SUMIF($B$43:$QL$43,IB$42,$B43:$QL$43),赔率设置!IF6))</f>
        <v>0</v>
      </c>
      <c r="IC5" s="5">
        <f>IF(IC$42="有","见左",ROUND(SUMIF($B$43:$QL$43,IC$42,$B43:$QL$43),赔率设置!IG6))</f>
        <v>0</v>
      </c>
      <c r="ID5" s="5">
        <f>IF(ID$42="有","见左",ROUND(SUMIF($B$43:$QL$43,ID$42,$B43:$QL$43),赔率设置!IH6))</f>
        <v>0</v>
      </c>
      <c r="IE5" s="5">
        <f>IF(IE$42="有","见左",ROUND(SUMIF($B$43:$QL$43,IE$42,$B43:$QL$43),赔率设置!II6))</f>
        <v>0</v>
      </c>
      <c r="IF5" s="5">
        <f>IF(IF$42="有","见左",ROUND(SUMIF($B$43:$QL$43,IF$42,$B43:$QL$43),赔率设置!IJ6))</f>
        <v>0</v>
      </c>
      <c r="IG5" s="5">
        <f>IF(IG$42="有","见左",ROUND(SUMIF($B$43:$QL$43,IG$42,$B43:$QL$43),赔率设置!IK6))</f>
        <v>0</v>
      </c>
      <c r="IH5" s="5">
        <f>IF(IH$42="有","见左",ROUND(SUMIF($B$43:$QL$43,IH$42,$B43:$QL$43),赔率设置!IL6))</f>
        <v>0</v>
      </c>
      <c r="II5" s="5">
        <f>IF(II$42="有","见左",ROUND(SUMIF($B$43:$QL$43,II$42,$B43:$QL$43),赔率设置!IM6))</f>
        <v>0</v>
      </c>
      <c r="IJ5" s="5">
        <f>IF(IJ$42="有","见左",ROUND(SUMIF($B$43:$QL$43,IJ$42,$B43:$QL$43),赔率设置!IN6))</f>
        <v>0</v>
      </c>
      <c r="IK5" s="5">
        <f>IF(IK$42="有","见左",ROUND(SUMIF($B$43:$QL$43,IK$42,$B43:$QL$43),赔率设置!IO6))</f>
        <v>0</v>
      </c>
      <c r="IL5" s="5">
        <f>IF(IL$42="有","见左",ROUND(SUMIF($B$43:$QL$43,IL$42,$B43:$QL$43),赔率设置!IP6))</f>
        <v>0</v>
      </c>
      <c r="IM5" s="5">
        <f>IF(IM$42="有","见左",ROUND(SUMIF($B$43:$QL$43,IM$42,$B43:$QL$43),赔率设置!IQ6))</f>
        <v>0</v>
      </c>
      <c r="IN5" s="5">
        <f>IF(IN$42="有","见左",ROUND(SUMIF($B$43:$QL$43,IN$42,$B43:$QL$43),赔率设置!IR6))</f>
        <v>0</v>
      </c>
      <c r="IO5" s="5">
        <f>IF(IO$42="有","见左",ROUND(SUMIF($B$43:$QL$43,IO$42,$B43:$QL$43),赔率设置!IS6))</f>
        <v>0</v>
      </c>
      <c r="IP5" s="5">
        <f>IF(IP$42="有","见左",ROUND(SUMIF($B$43:$QL$43,IP$42,$B43:$QL$43),赔率设置!IT6))</f>
        <v>0</v>
      </c>
      <c r="IQ5" s="5">
        <f>IF(IQ$42="有","见左",ROUND(SUMIF($B$43:$QL$43,IQ$42,$B43:$QL$43),赔率设置!IU6))</f>
        <v>0</v>
      </c>
      <c r="IR5" s="5">
        <f>IF(IR$42="有","见左",ROUND(SUMIF($B$43:$QL$43,IR$42,$B43:$QL$43),赔率设置!IV6))</f>
        <v>0</v>
      </c>
      <c r="IS5" s="5">
        <f>IF(IS$42="有","见左",ROUND(SUMIF($B$43:$QL$43,IS$42,$B43:$QL$43),赔率设置!IW6))</f>
        <v>0</v>
      </c>
      <c r="IT5" s="5">
        <f>IF(IT$42="有","见左",ROUND(SUMIF($B$43:$QL$43,IT$42,$B43:$QL$43),赔率设置!IX6))</f>
        <v>0</v>
      </c>
      <c r="IU5" s="5">
        <f>IF(IU$42="有","见左",ROUND(SUMIF($B$43:$QL$43,IU$42,$B43:$QL$43),赔率设置!IY6))</f>
        <v>0</v>
      </c>
      <c r="IV5" s="5">
        <f>IF(IV$42="有","见左",ROUND(SUMIF($B$43:$QL$43,IV$42,$B43:$QL$43),赔率设置!IZ6))</f>
        <v>0</v>
      </c>
      <c r="IW5" s="5">
        <f>IF(IW$42="有","见左",ROUND(SUMIF($B$43:$QL$43,IW$42,$B43:$QL$43),赔率设置!JA6))</f>
        <v>0</v>
      </c>
      <c r="IX5" s="5">
        <f>IF(IX$42="有","见左",ROUND(SUMIF($B$43:$QL$43,IX$42,$B43:$QL$43),赔率设置!JB6))</f>
        <v>0</v>
      </c>
      <c r="IY5" s="5">
        <f>IF(IY$42="有","见左",ROUND(SUMIF($B$43:$QL$43,IY$42,$B43:$QL$43),赔率设置!JC6))</f>
        <v>0</v>
      </c>
      <c r="IZ5" s="5">
        <f>IF(IZ$42="有","见左",ROUND(SUMIF($B$43:$QL$43,IZ$42,$B43:$QL$43),赔率设置!JD6))</f>
        <v>0</v>
      </c>
      <c r="JA5" s="5">
        <f>IF(JA$42="有","见左",ROUND(SUMIF($B$43:$QL$43,JA$42,$B43:$QL$43),赔率设置!JE6))</f>
        <v>0</v>
      </c>
      <c r="JB5" s="5">
        <f>IF(JB$42="有","见左",ROUND(SUMIF($B$43:$QL$43,JB$42,$B43:$QL$43),赔率设置!JF6))</f>
        <v>0</v>
      </c>
      <c r="JC5" s="5">
        <f>IF(JC$42="有","见左",ROUND(SUMIF($B$43:$QL$43,JC$42,$B43:$QL$43),赔率设置!JG6))</f>
        <v>0</v>
      </c>
      <c r="JD5" s="5">
        <f>IF(JD$42="有","见左",ROUND(SUMIF($B$43:$QL$43,JD$42,$B43:$QL$43),赔率设置!JH6))</f>
        <v>0</v>
      </c>
      <c r="JE5" s="5">
        <f>IF(JE$42="有","见左",ROUND(SUMIF($B$43:$QL$43,JE$42,$B43:$QL$43),赔率设置!JI6))</f>
        <v>0</v>
      </c>
      <c r="JF5" s="5">
        <f>IF(JF$42="有","见左",ROUND(SUMIF($B$43:$QL$43,JF$42,$B43:$QL$43),赔率设置!JJ6))</f>
        <v>0</v>
      </c>
      <c r="JG5" s="5">
        <f>IF(JG$42="有","见左",ROUND(SUMIF($B$43:$QL$43,JG$42,$B43:$QL$43),赔率设置!JK6))</f>
        <v>0</v>
      </c>
      <c r="JH5" s="5">
        <f>IF(JH$42="有","见左",ROUND(SUMIF($B$43:$QL$43,JH$42,$B43:$QL$43),赔率设置!JL6))</f>
        <v>0</v>
      </c>
      <c r="JI5" s="5">
        <f>IF(JI$42="有","见左",ROUND(SUMIF($B$43:$QL$43,JI$42,$B43:$QL$43),赔率设置!JM6))</f>
        <v>0</v>
      </c>
      <c r="JJ5" s="5">
        <f>IF(JJ$42="有","见左",ROUND(SUMIF($B$43:$QL$43,JJ$42,$B43:$QL$43),赔率设置!JN6))</f>
        <v>0</v>
      </c>
      <c r="JK5" s="5">
        <f>IF(JK$42="有","见左",ROUND(SUMIF($B$43:$QL$43,JK$42,$B43:$QL$43),赔率设置!JO6))</f>
        <v>0</v>
      </c>
      <c r="JL5" s="5">
        <f>IF(JL$42="有","见左",ROUND(SUMIF($B$43:$QL$43,JL$42,$B43:$QL$43),赔率设置!JP6))</f>
        <v>0</v>
      </c>
      <c r="JM5" s="5">
        <f>IF(JM$42="有","见左",ROUND(SUMIF($B$43:$QL$43,JM$42,$B43:$QL$43),赔率设置!JQ6))</f>
        <v>0</v>
      </c>
      <c r="JN5" s="5">
        <f>IF(JN$42="有","见左",ROUND(SUMIF($B$43:$QL$43,JN$42,$B43:$QL$43),赔率设置!JR6))</f>
        <v>0</v>
      </c>
      <c r="JO5" s="5">
        <f>IF(JO$42="有","见左",ROUND(SUMIF($B$43:$QL$43,JO$42,$B43:$QL$43),赔率设置!JS6))</f>
        <v>0</v>
      </c>
      <c r="JP5" s="5">
        <f>IF(JP$42="有","见左",ROUND(SUMIF($B$43:$QL$43,JP$42,$B43:$QL$43),赔率设置!JT6))</f>
        <v>0</v>
      </c>
      <c r="JQ5" s="5">
        <f>IF(JQ$42="有","见左",ROUND(SUMIF($B$43:$QL$43,JQ$42,$B43:$QL$43),赔率设置!JU6))</f>
        <v>0</v>
      </c>
      <c r="JR5" s="5">
        <f>IF(JR$42="有","见左",ROUND(SUMIF($B$43:$QL$43,JR$42,$B43:$QL$43),赔率设置!JV6))</f>
        <v>0</v>
      </c>
      <c r="JS5" s="5">
        <f>IF(JS$42="有","见左",ROUND(SUMIF($B$43:$QL$43,JS$42,$B43:$QL$43),赔率设置!JW6))</f>
        <v>0</v>
      </c>
      <c r="JT5" s="5">
        <f>IF(JT$42="有","见左",ROUND(SUMIF($B$43:$QL$43,JT$42,$B43:$QL$43),赔率设置!JX6))</f>
        <v>0</v>
      </c>
      <c r="JU5" s="5">
        <f>IF(JU$42="有","见左",ROUND(SUMIF($B$43:$QL$43,JU$42,$B43:$QL$43),赔率设置!JY6))</f>
        <v>0</v>
      </c>
      <c r="JV5" s="5">
        <f>IF(JV$42="有","见左",ROUND(SUMIF($B$43:$QL$43,JV$42,$B43:$QL$43),赔率设置!JZ6))</f>
        <v>0</v>
      </c>
      <c r="JW5" s="5">
        <f>IF(JW$42="有","见左",ROUND(SUMIF($B$43:$QL$43,JW$42,$B43:$QL$43),赔率设置!KA6))</f>
        <v>0</v>
      </c>
      <c r="JX5" s="5">
        <f>IF(JX$42="有","见左",ROUND(SUMIF($B$43:$QL$43,JX$42,$B43:$QL$43),赔率设置!KB6))</f>
        <v>0</v>
      </c>
      <c r="JY5" s="5">
        <f>IF(JY$42="有","见左",ROUND(SUMIF($B$43:$QL$43,JY$42,$B43:$QL$43),赔率设置!KC6))</f>
        <v>0</v>
      </c>
      <c r="JZ5" s="5">
        <f>IF(JZ$42="有","见左",ROUND(SUMIF($B$43:$QL$43,JZ$42,$B43:$QL$43),赔率设置!KD6))</f>
        <v>0</v>
      </c>
      <c r="KA5" s="5">
        <f>IF(KA$42="有","见左",ROUND(SUMIF($B$43:$QL$43,KA$42,$B43:$QL$43),赔率设置!KE6))</f>
        <v>0</v>
      </c>
      <c r="KB5" s="5">
        <f>IF(KB$42="有","见左",ROUND(SUMIF($B$43:$QL$43,KB$42,$B43:$QL$43),赔率设置!KF6))</f>
        <v>0</v>
      </c>
      <c r="KC5" s="5">
        <f>IF(KC$42="有","见左",ROUND(SUMIF($B$43:$QL$43,KC$42,$B43:$QL$43),赔率设置!KG6))</f>
        <v>0</v>
      </c>
      <c r="KD5" s="5">
        <f>IF(KD$42="有","见左",ROUND(SUMIF($B$43:$QL$43,KD$42,$B43:$QL$43),赔率设置!KH6))</f>
        <v>0</v>
      </c>
      <c r="KE5" s="5">
        <f>IF(KE$42="有","见左",ROUND(SUMIF($B$43:$QL$43,KE$42,$B43:$QL$43),赔率设置!KI6))</f>
        <v>0</v>
      </c>
      <c r="KF5" s="5">
        <f>IF(KF$42="有","见左",ROUND(SUMIF($B$43:$QL$43,KF$42,$B43:$QL$43),赔率设置!KJ6))</f>
        <v>0</v>
      </c>
      <c r="KG5" s="5">
        <f>IF(KG$42="有","见左",ROUND(SUMIF($B$43:$QL$43,KG$42,$B43:$QL$43),赔率设置!KK6))</f>
        <v>0</v>
      </c>
      <c r="KH5" s="5">
        <f>IF(KH$42="有","见左",ROUND(SUMIF($B$43:$QL$43,KH$42,$B43:$QL$43),赔率设置!KL6))</f>
        <v>0</v>
      </c>
      <c r="KI5" s="5">
        <f>IF(KI$42="有","见左",ROUND(SUMIF($B$43:$QL$43,KI$42,$B43:$QL$43),赔率设置!KM6))</f>
        <v>0</v>
      </c>
      <c r="KJ5" s="5">
        <f>IF(KJ$42="有","见左",ROUND(SUMIF($B$43:$QL$43,KJ$42,$B43:$QL$43),赔率设置!KN6))</f>
        <v>0</v>
      </c>
      <c r="KK5" s="5">
        <f>IF(KK$42="有","见左",ROUND(SUMIF($B$43:$QL$43,KK$42,$B43:$QL$43),赔率设置!KO6))</f>
        <v>0</v>
      </c>
      <c r="KL5" s="5">
        <f>IF(KL$42="有","见左",ROUND(SUMIF($B$43:$QL$43,KL$42,$B43:$QL$43),赔率设置!KP6))</f>
        <v>0</v>
      </c>
      <c r="KM5" s="5">
        <f>IF(KM$42="有","见左",ROUND(SUMIF($B$43:$QL$43,KM$42,$B43:$QL$43),赔率设置!KQ6))</f>
        <v>0</v>
      </c>
      <c r="KN5" s="5">
        <f>IF(KN$42="有","见左",ROUND(SUMIF($B$43:$QL$43,KN$42,$B43:$QL$43),赔率设置!KR6))</f>
        <v>0</v>
      </c>
      <c r="KO5" s="5">
        <f>IF(KO$42="有","见左",ROUND(SUMIF($B$43:$QL$43,KO$42,$B43:$QL$43),赔率设置!KS6))</f>
        <v>0</v>
      </c>
      <c r="KP5" s="5">
        <f>IF(KP$42="有","见左",ROUND(SUMIF($B$43:$QL$43,KP$42,$B43:$QL$43),赔率设置!KT6))</f>
        <v>0</v>
      </c>
      <c r="KQ5" s="5">
        <f>IF(KQ$42="有","见左",ROUND(SUMIF($B$43:$QL$43,KQ$42,$B43:$QL$43),赔率设置!KU6))</f>
        <v>0</v>
      </c>
      <c r="KR5" s="5">
        <f>IF(KR$42="有","见左",ROUND(SUMIF($B$43:$QL$43,KR$42,$B43:$QL$43),赔率设置!KV6))</f>
        <v>0</v>
      </c>
      <c r="KS5" s="5">
        <f>IF(KS$42="有","见左",ROUND(SUMIF($B$43:$QL$43,KS$42,$B43:$QL$43),赔率设置!KW6))</f>
        <v>0</v>
      </c>
      <c r="KT5" s="5">
        <f>IF(KT$42="有","见左",ROUND(SUMIF($B$43:$QL$43,KT$42,$B43:$QL$43),赔率设置!KX6))</f>
        <v>0</v>
      </c>
      <c r="KU5" s="5">
        <f>IF(KU$42="有","见左",ROUND(SUMIF($B$43:$QL$43,KU$42,$B43:$QL$43),赔率设置!KY6))</f>
        <v>0</v>
      </c>
      <c r="KV5" s="5">
        <f>IF(KV$42="有","见左",ROUND(SUMIF($B$43:$QL$43,KV$42,$B43:$QL$43),赔率设置!KZ6))</f>
        <v>0</v>
      </c>
      <c r="KW5" s="5">
        <f>IF(KW$42="有","见左",ROUND(SUMIF($B$43:$QL$43,KW$42,$B43:$QL$43),赔率设置!LA6))</f>
        <v>0</v>
      </c>
      <c r="KX5" s="5">
        <f>IF(KX$42="有","见左",ROUND(SUMIF($B$43:$QL$43,KX$42,$B43:$QL$43),赔率设置!LB6))</f>
        <v>0</v>
      </c>
      <c r="KY5" s="5">
        <f>IF(KY$42="有","见左",ROUND(SUMIF($B$43:$QL$43,KY$42,$B43:$QL$43),赔率设置!LC6))</f>
        <v>0</v>
      </c>
      <c r="KZ5" s="5">
        <f>IF(KZ$42="有","见左",ROUND(SUMIF($B$43:$QL$43,KZ$42,$B43:$QL$43),赔率设置!LD6))</f>
        <v>0</v>
      </c>
      <c r="LA5" s="5">
        <f>IF(LA$42="有","见左",ROUND(SUMIF($B$43:$QL$43,LA$42,$B43:$QL$43),赔率设置!LE6))</f>
        <v>0</v>
      </c>
      <c r="LB5" s="5">
        <f>IF(LB$42="有","见左",ROUND(SUMIF($B$43:$QL$43,LB$42,$B43:$QL$43),赔率设置!LF6))</f>
        <v>0</v>
      </c>
      <c r="LC5" s="5">
        <f>IF(LC$42="有","见左",ROUND(SUMIF($B$43:$QL$43,LC$42,$B43:$QL$43),赔率设置!LG6))</f>
        <v>0</v>
      </c>
      <c r="LD5" s="5">
        <f>IF(LD$42="有","见左",ROUND(SUMIF($B$43:$QL$43,LD$42,$B43:$QL$43),赔率设置!LH6))</f>
        <v>0</v>
      </c>
      <c r="LE5" s="5">
        <f>IF(LE$42="有","见左",ROUND(SUMIF($B$43:$QL$43,LE$42,$B43:$QL$43),赔率设置!LI6))</f>
        <v>0</v>
      </c>
      <c r="LF5" s="5">
        <f>IF(LF$42="有","见左",ROUND(SUMIF($B$43:$QL$43,LF$42,$B43:$QL$43),赔率设置!LJ6))</f>
        <v>0</v>
      </c>
      <c r="LG5" s="5">
        <f>IF(LG$42="有","见左",ROUND(SUMIF($B$43:$QL$43,LG$42,$B43:$QL$43),赔率设置!LK6))</f>
        <v>0</v>
      </c>
      <c r="LH5" s="5">
        <f>IF(LH$42="有","见左",ROUND(SUMIF($B$43:$QL$43,LH$42,$B43:$QL$43),赔率设置!LL6))</f>
        <v>0</v>
      </c>
      <c r="LI5" s="5">
        <f>IF(LI$42="有","见左",ROUND(SUMIF($B$43:$QL$43,LI$42,$B43:$QL$43),赔率设置!LM6))</f>
        <v>0</v>
      </c>
      <c r="LJ5" s="5">
        <f>IF(LJ$42="有","见左",ROUND(SUMIF($B$43:$QL$43,LJ$42,$B43:$QL$43),赔率设置!LN6))</f>
        <v>0</v>
      </c>
      <c r="LK5" s="5">
        <f>IF(LK$42="有","见左",ROUND(SUMIF($B$43:$QL$43,LK$42,$B43:$QL$43),赔率设置!LO6))</f>
        <v>0</v>
      </c>
      <c r="LL5" s="5">
        <f>IF(LL$42="有","见左",ROUND(SUMIF($B$43:$QL$43,LL$42,$B43:$QL$43),赔率设置!LP6))</f>
        <v>0</v>
      </c>
      <c r="LM5" s="5">
        <f>IF(LM$42="有","见左",ROUND(SUMIF($B$43:$QL$43,LM$42,$B43:$QL$43),赔率设置!LQ6))</f>
        <v>0</v>
      </c>
      <c r="LN5" s="5">
        <f>IF(LN$42="有","见左",ROUND(SUMIF($B$43:$QL$43,LN$42,$B43:$QL$43),赔率设置!LR6))</f>
        <v>0</v>
      </c>
      <c r="LO5" s="5">
        <f>IF(LO$42="有","见左",ROUND(SUMIF($B$43:$QL$43,LO$42,$B43:$QL$43),赔率设置!LS6))</f>
        <v>0</v>
      </c>
      <c r="LP5" s="5">
        <f>IF(LP$42="有","见左",ROUND(SUMIF($B$43:$QL$43,LP$42,$B43:$QL$43),赔率设置!LT6))</f>
        <v>0</v>
      </c>
      <c r="LQ5" s="5">
        <f>IF(LQ$42="有","见左",ROUND(SUMIF($B$43:$QL$43,LQ$42,$B43:$QL$43),赔率设置!LU6))</f>
        <v>0</v>
      </c>
      <c r="LR5" s="5">
        <f>IF(LR$42="有","见左",ROUND(SUMIF($B$43:$QL$43,LR$42,$B43:$QL$43),赔率设置!LV6))</f>
        <v>0</v>
      </c>
      <c r="LS5" s="5">
        <f>IF(LS$42="有","见左",ROUND(SUMIF($B$43:$QL$43,LS$42,$B43:$QL$43),赔率设置!LW6))</f>
        <v>0</v>
      </c>
      <c r="LT5" s="5">
        <f>IF(LT$42="有","见左",ROUND(SUMIF($B$43:$QL$43,LT$42,$B43:$QL$43),赔率设置!LX6))</f>
        <v>0</v>
      </c>
      <c r="LU5" s="5">
        <f>IF(LU$42="有","见左",ROUND(SUMIF($B$43:$QL$43,LU$42,$B43:$QL$43),赔率设置!LY6))</f>
        <v>0</v>
      </c>
      <c r="LV5" s="5">
        <f>IF(LV$42="有","见左",ROUND(SUMIF($B$43:$QL$43,LV$42,$B43:$QL$43),赔率设置!LZ6))</f>
        <v>0</v>
      </c>
      <c r="LW5" s="5">
        <f>IF(LW$42="有","见左",ROUND(SUMIF($B$43:$QL$43,LW$42,$B43:$QL$43),赔率设置!MA6))</f>
        <v>0</v>
      </c>
      <c r="LX5" s="5">
        <f>IF(LX$42="有","见左",ROUND(SUMIF($B$43:$QL$43,LX$42,$B43:$QL$43),赔率设置!MB6))</f>
        <v>0</v>
      </c>
      <c r="LY5" s="5">
        <f>IF(LY$42="有","见左",ROUND(SUMIF($B$43:$QL$43,LY$42,$B43:$QL$43),赔率设置!MC6))</f>
        <v>0</v>
      </c>
      <c r="LZ5" s="5">
        <f>IF(LZ$42="有","见左",ROUND(SUMIF($B$43:$QL$43,LZ$42,$B43:$QL$43),赔率设置!MD6))</f>
        <v>0</v>
      </c>
      <c r="MA5" s="5">
        <f>IF(MA$42="有","见左",ROUND(SUMIF($B$43:$QL$43,MA$42,$B43:$QL$43),赔率设置!ME6))</f>
        <v>0</v>
      </c>
      <c r="MB5" s="5">
        <f>IF(MB$42="有","见左",ROUND(SUMIF($B$43:$QL$43,MB$42,$B43:$QL$43),赔率设置!MF6))</f>
        <v>0</v>
      </c>
      <c r="MC5" s="5">
        <f>IF(MC$42="有","见左",ROUND(SUMIF($B$43:$QL$43,MC$42,$B43:$QL$43),赔率设置!MG6))</f>
        <v>0</v>
      </c>
      <c r="MD5" s="5">
        <f>IF(MD$42="有","见左",ROUND(SUMIF($B$43:$QL$43,MD$42,$B43:$QL$43),赔率设置!MH6))</f>
        <v>0</v>
      </c>
      <c r="ME5" s="5">
        <f>IF(ME$42="有","见左",ROUND(SUMIF($B$43:$QL$43,ME$42,$B43:$QL$43),赔率设置!MI6))</f>
        <v>0</v>
      </c>
      <c r="MF5" s="5">
        <f>IF(MF$42="有","见左",ROUND(SUMIF($B$43:$QL$43,MF$42,$B43:$QL$43),赔率设置!MJ6))</f>
        <v>0</v>
      </c>
      <c r="MG5" s="5">
        <f>IF(MG$42="有","见左",ROUND(SUMIF($B$43:$QL$43,MG$42,$B43:$QL$43),赔率设置!MK6))</f>
        <v>0</v>
      </c>
      <c r="MH5" s="5">
        <f>IF(MH$42="有","见左",ROUND(SUMIF($B$43:$QL$43,MH$42,$B43:$QL$43),赔率设置!ML6))</f>
        <v>0</v>
      </c>
      <c r="MI5" s="5">
        <f>IF(MI$42="有","见左",ROUND(SUMIF($B$43:$QL$43,MI$42,$B43:$QL$43),赔率设置!MM6))</f>
        <v>0</v>
      </c>
      <c r="MJ5" s="5">
        <f>IF(MJ$42="有","见左",ROUND(SUMIF($B$43:$QL$43,MJ$42,$B43:$QL$43),赔率设置!MN6))</f>
        <v>0</v>
      </c>
      <c r="MK5" s="5">
        <f>IF(MK$42="有","见左",ROUND(SUMIF($B$43:$QL$43,MK$42,$B43:$QL$43),赔率设置!MO6))</f>
        <v>0</v>
      </c>
      <c r="ML5" s="5">
        <f>IF(ML$42="有","见左",ROUND(SUMIF($B$43:$QL$43,ML$42,$B43:$QL$43),赔率设置!MP6))</f>
        <v>0</v>
      </c>
      <c r="MM5" s="5">
        <f>IF(MM$42="有","见左",ROUND(SUMIF($B$43:$QL$43,MM$42,$B43:$QL$43),赔率设置!MQ6))</f>
        <v>0</v>
      </c>
      <c r="MN5" s="5">
        <f>IF(MN$42="有","见左",ROUND(SUMIF($B$43:$QL$43,MN$42,$B43:$QL$43),赔率设置!MR6))</f>
        <v>0</v>
      </c>
      <c r="MO5" s="5">
        <f>IF(MO$42="有","见左",ROUND(SUMIF($B$43:$QL$43,MO$42,$B43:$QL$43),赔率设置!MS6))</f>
        <v>0</v>
      </c>
      <c r="MP5" s="5">
        <f>IF(MP$42="有","见左",ROUND(SUMIF($B$43:$QL$43,MP$42,$B43:$QL$43),赔率设置!MT6))</f>
        <v>0</v>
      </c>
      <c r="MQ5" s="5">
        <f>IF(MQ$42="有","见左",ROUND(SUMIF($B$43:$QL$43,MQ$42,$B43:$QL$43),赔率设置!MU6))</f>
        <v>0</v>
      </c>
      <c r="MR5" s="5">
        <f>IF(MR$42="有","见左",ROUND(SUMIF($B$43:$QL$43,MR$42,$B43:$QL$43),赔率设置!MV6))</f>
        <v>0</v>
      </c>
      <c r="MS5" s="5">
        <f>IF(MS$42="有","见左",ROUND(SUMIF($B$43:$QL$43,MS$42,$B43:$QL$43),赔率设置!MW6))</f>
        <v>0</v>
      </c>
      <c r="MT5" s="5">
        <f>IF(MT$42="有","见左",ROUND(SUMIF($B$43:$QL$43,MT$42,$B43:$QL$43),赔率设置!MX6))</f>
        <v>0</v>
      </c>
      <c r="MU5" s="5">
        <f>IF(MU$42="有","见左",ROUND(SUMIF($B$43:$QL$43,MU$42,$B43:$QL$43),赔率设置!MY6))</f>
        <v>0</v>
      </c>
      <c r="MV5" s="5">
        <f>IF(MV$42="有","见左",ROUND(SUMIF($B$43:$QL$43,MV$42,$B43:$QL$43),赔率设置!MZ6))</f>
        <v>0</v>
      </c>
      <c r="MW5" s="5">
        <f>IF(MW$42="有","见左",ROUND(SUMIF($B$43:$QL$43,MW$42,$B43:$QL$43),赔率设置!NA6))</f>
        <v>0</v>
      </c>
      <c r="MX5" s="5">
        <f>IF(MX$42="有","见左",ROUND(SUMIF($B$43:$QL$43,MX$42,$B43:$QL$43),赔率设置!NB6))</f>
        <v>0</v>
      </c>
      <c r="MY5" s="5">
        <f>IF(MY$42="有","见左",ROUND(SUMIF($B$43:$QL$43,MY$42,$B43:$QL$43),赔率设置!NC6))</f>
        <v>0</v>
      </c>
      <c r="MZ5" s="5">
        <f>IF(MZ$42="有","见左",ROUND(SUMIF($B$43:$QL$43,MZ$42,$B43:$QL$43),赔率设置!ND6))</f>
        <v>0</v>
      </c>
      <c r="NA5" s="5">
        <f>IF(NA$42="有","见左",ROUND(SUMIF($B$43:$QL$43,NA$42,$B43:$QL$43),赔率设置!NE6))</f>
        <v>0</v>
      </c>
      <c r="NB5" s="5">
        <f>IF(NB$42="有","见左",ROUND(SUMIF($B$43:$QL$43,NB$42,$B43:$QL$43),赔率设置!NF6))</f>
        <v>0</v>
      </c>
      <c r="NC5" s="5">
        <f>IF(NC$42="有","见左",ROUND(SUMIF($B$43:$QL$43,NC$42,$B43:$QL$43),赔率设置!NG6))</f>
        <v>0</v>
      </c>
      <c r="ND5" s="5">
        <f>IF(ND$42="有","见左",ROUND(SUMIF($B$43:$QL$43,ND$42,$B43:$QL$43),赔率设置!NH6))</f>
        <v>0</v>
      </c>
      <c r="NE5" s="5">
        <f>IF(NE$42="有","见左",ROUND(SUMIF($B$43:$QL$43,NE$42,$B43:$QL$43),赔率设置!NI6))</f>
        <v>0</v>
      </c>
      <c r="NF5" s="5">
        <f>IF(NF$42="有","见左",ROUND(SUMIF($B$43:$QL$43,NF$42,$B43:$QL$43),赔率设置!NJ6))</f>
        <v>0</v>
      </c>
      <c r="NG5" s="5">
        <f>IF(NG$42="有","见左",ROUND(SUMIF($B$43:$QL$43,NG$42,$B43:$QL$43),赔率设置!NK6))</f>
        <v>0</v>
      </c>
      <c r="NH5" s="5">
        <f>IF(NH$42="有","见左",ROUND(SUMIF($B$43:$QL$43,NH$42,$B43:$QL$43),赔率设置!NL6))</f>
        <v>0</v>
      </c>
      <c r="NI5" s="5">
        <f>IF(NI$42="有","见左",ROUND(SUMIF($B$43:$QL$43,NI$42,$B43:$QL$43),赔率设置!NM6))</f>
        <v>0</v>
      </c>
      <c r="NJ5" s="5">
        <f>IF(NJ$42="有","见左",ROUND(SUMIF($B$43:$QL$43,NJ$42,$B43:$QL$43),赔率设置!NN6))</f>
        <v>0</v>
      </c>
      <c r="NK5" s="5">
        <f>IF(NK$42="有","见左",ROUND(SUMIF($B$43:$QL$43,NK$42,$B43:$QL$43),赔率设置!NO6))</f>
        <v>0</v>
      </c>
      <c r="NL5" s="5">
        <f>IF(NL$42="有","见左",ROUND(SUMIF($B$43:$QL$43,NL$42,$B43:$QL$43),赔率设置!NP6))</f>
        <v>0</v>
      </c>
      <c r="NM5" s="5">
        <f>IF(NM$42="有","见左",ROUND(SUMIF($B$43:$QL$43,NM$42,$B43:$QL$43),赔率设置!NQ6))</f>
        <v>0</v>
      </c>
      <c r="NN5" s="5">
        <f>IF(NN$42="有","见左",ROUND(SUMIF($B$43:$QL$43,NN$42,$B43:$QL$43),赔率设置!NR6))</f>
        <v>0</v>
      </c>
      <c r="NO5" s="5">
        <f>IF(NO$42="有","见左",ROUND(SUMIF($B$43:$QL$43,NO$42,$B43:$QL$43),赔率设置!NS6))</f>
        <v>0</v>
      </c>
      <c r="NP5" s="5">
        <f>IF(NP$42="有","见左",ROUND(SUMIF($B$43:$QL$43,NP$42,$B43:$QL$43),赔率设置!NT6))</f>
        <v>0</v>
      </c>
      <c r="NQ5" s="5">
        <f>IF(NQ$42="有","见左",ROUND(SUMIF($B$43:$QL$43,NQ$42,$B43:$QL$43),赔率设置!NU6))</f>
        <v>0</v>
      </c>
      <c r="NR5" s="5">
        <f>IF(NR$42="有","见左",ROUND(SUMIF($B$43:$QL$43,NR$42,$B43:$QL$43),赔率设置!NV6))</f>
        <v>0</v>
      </c>
      <c r="NS5" s="5">
        <f>IF(NS$42="有","见左",ROUND(SUMIF($B$43:$QL$43,NS$42,$B43:$QL$43),赔率设置!NW6))</f>
        <v>0</v>
      </c>
      <c r="NT5" s="5">
        <f>IF(NT$42="有","见左",ROUND(SUMIF($B$43:$QL$43,NT$42,$B43:$QL$43),赔率设置!NX6))</f>
        <v>0</v>
      </c>
      <c r="NU5" s="5">
        <f>IF(NU$42="有","见左",ROUND(SUMIF($B$43:$QL$43,NU$42,$B43:$QL$43),赔率设置!NY6))</f>
        <v>0</v>
      </c>
      <c r="NV5" s="5">
        <f>IF(NV$42="有","见左",ROUND(SUMIF($B$43:$QL$43,NV$42,$B43:$QL$43),赔率设置!NZ6))</f>
        <v>0</v>
      </c>
      <c r="NW5" s="5">
        <f>IF(NW$42="有","见左",ROUND(SUMIF($B$43:$QL$43,NW$42,$B43:$QL$43),赔率设置!OA6))</f>
        <v>0</v>
      </c>
      <c r="NX5" s="5">
        <f>IF(NX$42="有","见左",ROUND(SUMIF($B$43:$QL$43,NX$42,$B43:$QL$43),赔率设置!OB6))</f>
        <v>0</v>
      </c>
      <c r="NY5" s="5">
        <f>IF(NY$42="有","见左",ROUND(SUMIF($B$43:$QL$43,NY$42,$B43:$QL$43),赔率设置!OC6))</f>
        <v>0</v>
      </c>
      <c r="NZ5" s="5">
        <f>IF(NZ$42="有","见左",ROUND(SUMIF($B$43:$QL$43,NZ$42,$B43:$QL$43),赔率设置!OD6))</f>
        <v>0</v>
      </c>
      <c r="OA5" s="5">
        <f>IF(OA$42="有","见左",ROUND(SUMIF($B$43:$QL$43,OA$42,$B43:$QL$43),赔率设置!OE6))</f>
        <v>0</v>
      </c>
      <c r="OB5" s="5">
        <f>IF(OB$42="有","见左",ROUND(SUMIF($B$43:$QL$43,OB$42,$B43:$QL$43),赔率设置!OF6))</f>
        <v>0</v>
      </c>
      <c r="OC5" s="5">
        <f>IF(OC$42="有","见左",ROUND(SUMIF($B$43:$QL$43,OC$42,$B43:$QL$43),赔率设置!OG6))</f>
        <v>0</v>
      </c>
      <c r="OD5" s="5">
        <f>IF(OD$42="有","见左",ROUND(SUMIF($B$43:$QL$43,OD$42,$B43:$QL$43),赔率设置!OH6))</f>
        <v>0</v>
      </c>
      <c r="OE5" s="5">
        <f>IF(OE$42="有","见左",ROUND(SUMIF($B$43:$QL$43,OE$42,$B43:$QL$43),赔率设置!OI6))</f>
        <v>0</v>
      </c>
      <c r="OF5" s="5">
        <f>IF(OF$42="有","见左",ROUND(SUMIF($B$43:$QL$43,OF$42,$B43:$QL$43),赔率设置!OJ6))</f>
        <v>0</v>
      </c>
      <c r="OG5" s="5">
        <f>IF(OG$42="有","见左",ROUND(SUMIF($B$43:$QL$43,OG$42,$B43:$QL$43),赔率设置!OK6))</f>
        <v>0</v>
      </c>
      <c r="OH5" s="5">
        <f>IF(OH$42="有","见左",ROUND(SUMIF($B$43:$QL$43,OH$42,$B43:$QL$43),赔率设置!OL6))</f>
        <v>0</v>
      </c>
      <c r="OI5" s="5">
        <f>IF(OI$42="有","见左",ROUND(SUMIF($B$43:$QL$43,OI$42,$B43:$QL$43),赔率设置!OM6))</f>
        <v>0</v>
      </c>
      <c r="OJ5" s="5">
        <f>IF(OJ$42="有","见左",ROUND(SUMIF($B$43:$QL$43,OJ$42,$B43:$QL$43),赔率设置!ON6))</f>
        <v>0</v>
      </c>
      <c r="OK5" s="5">
        <f>IF(OK$42="有","见左",ROUND(SUMIF($B$43:$QL$43,OK$42,$B43:$QL$43),赔率设置!OO6))</f>
        <v>0</v>
      </c>
      <c r="OL5" s="5">
        <f>IF(OL$42="有","见左",ROUND(SUMIF($B$43:$QL$43,OL$42,$B43:$QL$43),赔率设置!OP6))</f>
        <v>0</v>
      </c>
      <c r="OM5" s="5">
        <f>IF(OM$42="有","见左",ROUND(SUMIF($B$43:$QL$43,OM$42,$B43:$QL$43),赔率设置!OQ6))</f>
        <v>0</v>
      </c>
      <c r="ON5" s="5">
        <f>IF(ON$42="有","见左",ROUND(SUMIF($B$43:$QL$43,ON$42,$B43:$QL$43),赔率设置!OR6))</f>
        <v>0</v>
      </c>
      <c r="OO5" s="5">
        <f>IF(OO$42="有","见左",ROUND(SUMIF($B$43:$QL$43,OO$42,$B43:$QL$43),赔率设置!OS6))</f>
        <v>0</v>
      </c>
      <c r="OP5" s="5">
        <f>IF(OP$42="有","见左",ROUND(SUMIF($B$43:$QL$43,OP$42,$B43:$QL$43),赔率设置!OT6))</f>
        <v>0</v>
      </c>
      <c r="OQ5" s="5">
        <f>IF(OQ$42="有","见左",ROUND(SUMIF($B$43:$QL$43,OQ$42,$B43:$QL$43),赔率设置!OU6))</f>
        <v>0</v>
      </c>
      <c r="OR5" s="5">
        <f>IF(OR$42="有","见左",ROUND(SUMIF($B$43:$QL$43,OR$42,$B43:$QL$43),赔率设置!OV6))</f>
        <v>0</v>
      </c>
      <c r="OS5" s="5">
        <f>IF(OS$42="有","见左",ROUND(SUMIF($B$43:$QL$43,OS$42,$B43:$QL$43),赔率设置!OW6))</f>
        <v>0</v>
      </c>
      <c r="OT5" s="5">
        <f>IF(OT$42="有","见左",ROUND(SUMIF($B$43:$QL$43,OT$42,$B43:$QL$43),赔率设置!OX6))</f>
        <v>0</v>
      </c>
      <c r="OU5" s="5">
        <f>IF(OU$42="有","见左",ROUND(SUMIF($B$43:$QL$43,OU$42,$B43:$QL$43),赔率设置!OY6))</f>
        <v>0</v>
      </c>
      <c r="OV5" s="5">
        <f>IF(OV$42="有","见左",ROUND(SUMIF($B$43:$QL$43,OV$42,$B43:$QL$43),赔率设置!OZ6))</f>
        <v>0</v>
      </c>
      <c r="OW5" s="5">
        <f>IF(OW$42="有","见左",ROUND(SUMIF($B$43:$QL$43,OW$42,$B43:$QL$43),赔率设置!PA6))</f>
        <v>0</v>
      </c>
      <c r="OX5" s="5">
        <f>IF(OX$42="有","见左",ROUND(SUMIF($B$43:$QL$43,OX$42,$B43:$QL$43),赔率设置!PB6))</f>
        <v>0</v>
      </c>
      <c r="OY5" s="5">
        <f>IF(OY$42="有","见左",ROUND(SUMIF($B$43:$QL$43,OY$42,$B43:$QL$43),赔率设置!PC6))</f>
        <v>0</v>
      </c>
      <c r="OZ5" s="5">
        <f>IF(OZ$42="有","见左",ROUND(SUMIF($B$43:$QL$43,OZ$42,$B43:$QL$43),赔率设置!PD6))</f>
        <v>0</v>
      </c>
      <c r="PA5" s="5">
        <f>IF(PA$42="有","见左",ROUND(SUMIF($B$43:$QL$43,PA$42,$B43:$QL$43),赔率设置!PE6))</f>
        <v>0</v>
      </c>
      <c r="PB5" s="5">
        <f>IF(PB$42="有","见左",ROUND(SUMIF($B$43:$QL$43,PB$42,$B43:$QL$43),赔率设置!PF6))</f>
        <v>0</v>
      </c>
      <c r="PC5" s="5">
        <f>IF(PC$42="有","见左",ROUND(SUMIF($B$43:$QL$43,PC$42,$B43:$QL$43),赔率设置!PG6))</f>
        <v>0</v>
      </c>
      <c r="PD5" s="5">
        <f>IF(PD$42="有","见左",ROUND(SUMIF($B$43:$QL$43,PD$42,$B43:$QL$43),赔率设置!PH6))</f>
        <v>0</v>
      </c>
      <c r="PE5" s="5">
        <f>IF(PE$42="有","见左",ROUND(SUMIF($B$43:$QL$43,PE$42,$B43:$QL$43),赔率设置!PI6))</f>
        <v>0</v>
      </c>
      <c r="PF5" s="5">
        <f>IF(PF$42="有","见左",ROUND(SUMIF($B$43:$QL$43,PF$42,$B43:$QL$43),赔率设置!PJ6))</f>
        <v>0</v>
      </c>
      <c r="PG5" s="5">
        <f>IF(PG$42="有","见左",ROUND(SUMIF($B$43:$QL$43,PG$42,$B43:$QL$43),赔率设置!PK6))</f>
        <v>0</v>
      </c>
      <c r="PH5" s="5">
        <f>IF(PH$42="有","见左",ROUND(SUMIF($B$43:$QL$43,PH$42,$B43:$QL$43),赔率设置!PL6))</f>
        <v>0</v>
      </c>
      <c r="PI5" s="5">
        <f>IF(PI$42="有","见左",ROUND(SUMIF($B$43:$QL$43,PI$42,$B43:$QL$43),赔率设置!PM6))</f>
        <v>0</v>
      </c>
      <c r="PJ5" s="5">
        <f>IF(PJ$42="有","见左",ROUND(SUMIF($B$43:$QL$43,PJ$42,$B43:$QL$43),赔率设置!PN6))</f>
        <v>0</v>
      </c>
      <c r="PK5" s="5">
        <f>IF(PK$42="有","见左",ROUND(SUMIF($B$43:$QL$43,PK$42,$B43:$QL$43),赔率设置!PO6))</f>
        <v>0</v>
      </c>
      <c r="PL5" s="5">
        <f>IF(PL$42="有","见左",ROUND(SUMIF($B$43:$QL$43,PL$42,$B43:$QL$43),赔率设置!PP6))</f>
        <v>0</v>
      </c>
      <c r="PM5" s="5">
        <f>IF(PM$42="有","见左",ROUND(SUMIF($B$43:$QL$43,PM$42,$B43:$QL$43),赔率设置!PQ6))</f>
        <v>0</v>
      </c>
      <c r="PN5" s="5">
        <f>IF(PN$42="有","见左",ROUND(SUMIF($B$43:$QL$43,PN$42,$B43:$QL$43),赔率设置!PR6))</f>
        <v>0</v>
      </c>
      <c r="PO5" s="5">
        <f>IF(PO$42="有","见左",ROUND(SUMIF($B$43:$QL$43,PO$42,$B43:$QL$43),赔率设置!PS6))</f>
        <v>0</v>
      </c>
      <c r="PP5" s="5">
        <f>IF(PP$42="有","见左",ROUND(SUMIF($B$43:$QL$43,PP$42,$B43:$QL$43),赔率设置!PT6))</f>
        <v>0</v>
      </c>
      <c r="PQ5" s="5">
        <f>IF(PQ$42="有","见左",ROUND(SUMIF($B$43:$QL$43,PQ$42,$B43:$QL$43),赔率设置!PU6))</f>
        <v>0</v>
      </c>
      <c r="PR5" s="5">
        <f>IF(PR$42="有","见左",ROUND(SUMIF($B$43:$QL$43,PR$42,$B43:$QL$43),赔率设置!PV6))</f>
        <v>0</v>
      </c>
      <c r="PS5" s="5">
        <f>IF(PS$42="有","见左",ROUND(SUMIF($B$43:$QL$43,PS$42,$B43:$QL$43),赔率设置!PW6))</f>
        <v>0</v>
      </c>
      <c r="PT5" s="5">
        <f>IF(PT$42="有","见左",ROUND(SUMIF($B$43:$QL$43,PT$42,$B43:$QL$43),赔率设置!PX6))</f>
        <v>0</v>
      </c>
      <c r="PU5" s="5">
        <f>IF(PU$42="有","见左",ROUND(SUMIF($B$43:$QL$43,PU$42,$B43:$QL$43),赔率设置!PY6))</f>
        <v>0</v>
      </c>
      <c r="PV5" s="5">
        <f>IF(PV$42="有","见左",ROUND(SUMIF($B$43:$QL$43,PV$42,$B43:$QL$43),赔率设置!PZ6))</f>
        <v>0</v>
      </c>
      <c r="PW5" s="5">
        <f>IF(PW$42="有","见左",ROUND(SUMIF($B$43:$QL$43,PW$42,$B43:$QL$43),赔率设置!QA6))</f>
        <v>0</v>
      </c>
      <c r="PX5" s="5">
        <f>IF(PX$42="有","见左",ROUND(SUMIF($B$43:$QL$43,PX$42,$B43:$QL$43),赔率设置!QB6))</f>
        <v>0</v>
      </c>
      <c r="PY5" s="5">
        <f>IF(PY$42="有","见左",ROUND(SUMIF($B$43:$QL$43,PY$42,$B43:$QL$43),赔率设置!QC6))</f>
        <v>0</v>
      </c>
      <c r="PZ5" s="5">
        <f>IF(PZ$42="有","见左",ROUND(SUMIF($B$43:$QL$43,PZ$42,$B43:$QL$43),赔率设置!QD6))</f>
        <v>0</v>
      </c>
      <c r="QA5" s="5">
        <f>IF(QA$42="有","见左",ROUND(SUMIF($B$43:$QL$43,QA$42,$B43:$QL$43),赔率设置!QE6))</f>
        <v>0</v>
      </c>
      <c r="QB5" s="5">
        <f>IF(QB$42="有","见左",ROUND(SUMIF($B$43:$QL$43,QB$42,$B43:$QL$43),赔率设置!QF6))</f>
        <v>0</v>
      </c>
      <c r="QC5" s="5">
        <f>IF(QC$42="有","见左",ROUND(SUMIF($B$43:$QL$43,QC$42,$B43:$QL$43),赔率设置!QG6))</f>
        <v>0</v>
      </c>
      <c r="QD5" s="5">
        <f>IF(QD$42="有","见左",ROUND(SUMIF($B$43:$QL$43,QD$42,$B43:$QL$43),赔率设置!QH6))</f>
        <v>0</v>
      </c>
      <c r="QE5" s="5">
        <f>IF(QE$42="有","见左",ROUND(SUMIF($B$43:$QL$43,QE$42,$B43:$QL$43),赔率设置!QI6))</f>
        <v>0</v>
      </c>
      <c r="QF5" s="5">
        <f>IF(QF$42="有","见左",ROUND(SUMIF($B$43:$QL$43,QF$42,$B43:$QL$43),赔率设置!QJ6))</f>
        <v>0</v>
      </c>
      <c r="QG5" s="5">
        <f>IF(QG$42="有","见左",ROUND(SUMIF($B$43:$QL$43,QG$42,$B43:$QL$43),赔率设置!QK6))</f>
        <v>0</v>
      </c>
      <c r="QH5" s="5">
        <f>IF(QH$42="有","见左",ROUND(SUMIF($B$43:$QL$43,QH$42,$B43:$QL$43),赔率设置!QL6))</f>
        <v>0</v>
      </c>
      <c r="QI5" s="5">
        <f>IF(QI$42="有","见左",ROUND(SUMIF($B$43:$QL$43,QI$42,$B43:$QL$43),赔率设置!QM6))</f>
        <v>0</v>
      </c>
      <c r="QJ5" s="5">
        <f>IF(QJ$42="有","见左",ROUND(SUMIF($B$43:$QL$43,QJ$42,$B43:$QL$43),赔率设置!QN6))</f>
        <v>0</v>
      </c>
      <c r="QK5" s="5">
        <f>IF(QK$42="有","见左",ROUND(SUMIF($B$43:$QL$43,QK$42,$B43:$QL$43),赔率设置!QO6))</f>
        <v>0</v>
      </c>
      <c r="QL5" s="5">
        <f>IF(QL$42="有","见左",ROUND(SUMIF($B$43:$QL$43,QL$42,$B43:$QL$43),赔率设置!QP6))</f>
        <v>0</v>
      </c>
      <c r="QM5" s="5">
        <f>IF(QM$42="有","见左",ROUND(SUMIF($B$43:$QL$43,QM$42,$B43:$QL$43),赔率设置!QQ6))</f>
        <v>0</v>
      </c>
      <c r="QN5" s="5">
        <f>IF(QN$42="有","见左",ROUND(SUMIF($B$43:$QL$43,QN$42,$B43:$QL$43),赔率设置!QR6))</f>
        <v>0</v>
      </c>
      <c r="QO5" s="5">
        <f>IF(QO$42="有","见左",ROUND(SUMIF($B$43:$QL$43,QO$42,$B43:$QL$43),赔率设置!QS6))</f>
        <v>0</v>
      </c>
      <c r="QP5" s="5">
        <f>IF(QP$42="有","见左",ROUND(SUMIF($B$43:$QL$43,QP$42,$B43:$QL$43),赔率设置!QT6))</f>
        <v>0</v>
      </c>
      <c r="QQ5" s="5">
        <f>IF(QQ$42="有","见左",ROUND(SUMIF($B$43:$QL$43,QQ$42,$B43:$QL$43),赔率设置!QU6))</f>
        <v>0</v>
      </c>
      <c r="QR5" s="5">
        <f>IF(QR$42="有","见左",ROUND(SUMIF($B$43:$QL$43,QR$42,$B43:$QL$43),赔率设置!QV6))</f>
        <v>0</v>
      </c>
      <c r="QS5" s="5">
        <f>IF(QS$42="有","见左",ROUND(SUMIF($B$43:$QL$43,QS$42,$B43:$QL$43),赔率设置!QW6))</f>
        <v>0</v>
      </c>
      <c r="QT5" s="5">
        <f>IF(QT$42="有","见左",ROUND(SUMIF($B$43:$QL$43,QT$42,$B43:$QL$43),赔率设置!QX6))</f>
        <v>0</v>
      </c>
      <c r="QU5" s="5">
        <f>IF(QU$42="有","见左",ROUND(SUMIF($B$43:$QL$43,QU$42,$B43:$QL$43),赔率设置!QY6))</f>
        <v>0</v>
      </c>
      <c r="QV5" s="5">
        <f>IF(QV$42="有","见左",ROUND(SUMIF($B$43:$QL$43,QV$42,$B43:$QL$43),赔率设置!QZ6))</f>
        <v>0</v>
      </c>
      <c r="QW5" s="5">
        <f>IF(QW$42="有","见左",ROUND(SUMIF($B$43:$QL$43,QW$42,$B43:$QL$43),赔率设置!RA6))</f>
        <v>0</v>
      </c>
      <c r="QX5" s="5">
        <f>IF(QX$42="有","见左",ROUND(SUMIF($B$43:$QL$43,QX$42,$B43:$QL$43),赔率设置!RB6))</f>
        <v>0</v>
      </c>
      <c r="QY5" s="5">
        <f>IF(QY$42="有","见左",ROUND(SUMIF($B$43:$QL$43,QY$42,$B43:$QL$43),赔率设置!RC6))</f>
        <v>0</v>
      </c>
      <c r="QZ5" s="5">
        <f>IF(QZ$42="有","见左",ROUND(SUMIF($B$43:$QL$43,QZ$42,$B43:$QL$43),赔率设置!RD6))</f>
        <v>0</v>
      </c>
      <c r="RA5" s="5">
        <f>IF(RA$42="有","见左",ROUND(SUMIF($B$43:$QL$43,RA$42,$B43:$QL$43),赔率设置!RE6))</f>
        <v>0</v>
      </c>
      <c r="RB5" s="5">
        <f>IF(RB$42="有","见左",ROUND(SUMIF($B$43:$QL$43,RB$42,$B43:$QL$43),赔率设置!RF6))</f>
        <v>0</v>
      </c>
      <c r="RC5" s="5">
        <f>IF(RC$42="有","见左",ROUND(SUMIF($B$43:$QL$43,RC$42,$B43:$QL$43),赔率设置!RG6))</f>
        <v>0</v>
      </c>
      <c r="RD5" s="5">
        <f>IF(RD$42="有","见左",ROUND(SUMIF($B$43:$QL$43,RD$42,$B43:$QL$43),赔率设置!RH6))</f>
        <v>0</v>
      </c>
      <c r="RE5" s="5">
        <f>IF(RE$42="有","见左",ROUND(SUMIF($B$43:$QL$43,RE$42,$B43:$QL$43),赔率设置!RI6))</f>
        <v>0</v>
      </c>
      <c r="RF5" s="5">
        <f>IF(RF$42="有","见左",ROUND(SUMIF($B$43:$QL$43,RF$42,$B43:$QL$43),赔率设置!RJ6))</f>
        <v>0</v>
      </c>
      <c r="RG5" s="5">
        <f>IF(RG$42="有","见左",ROUND(SUMIF($B$43:$QL$43,RG$42,$B43:$QL$43),赔率设置!RK6))</f>
        <v>0</v>
      </c>
      <c r="RH5" s="5">
        <f>IF(RH$42="有","见左",ROUND(SUMIF($B$43:$QL$43,RH$42,$B43:$QL$43),赔率设置!RL6))</f>
        <v>0</v>
      </c>
      <c r="RI5" s="5">
        <f>IF(RI$42="有","见左",ROUND(SUMIF($B$43:$QL$43,RI$42,$B43:$QL$43),赔率设置!RM6))</f>
        <v>0</v>
      </c>
      <c r="RJ5" s="5">
        <f>IF(RJ$42="有","见左",ROUND(SUMIF($B$43:$QL$43,RJ$42,$B43:$QL$43),赔率设置!RN6))</f>
        <v>0</v>
      </c>
      <c r="RK5" s="5">
        <f>IF(RK$42="有","见左",ROUND(SUMIF($B$43:$QL$43,RK$42,$B43:$QL$43),赔率设置!RO6))</f>
        <v>0</v>
      </c>
      <c r="RL5" s="5">
        <f>IF(RL$42="有","见左",ROUND(SUMIF($B$43:$QL$43,RL$42,$B43:$QL$43),赔率设置!RP6))</f>
        <v>0</v>
      </c>
      <c r="RM5" s="5">
        <f>IF(RM$42="有","见左",ROUND(SUMIF($B$43:$QL$43,RM$42,$B43:$QL$43),赔率设置!RQ6))</f>
        <v>0</v>
      </c>
      <c r="RN5" s="5">
        <f>IF(RN$42="有","见左",ROUND(SUMIF($B$43:$QL$43,RN$42,$B43:$QL$43),赔率设置!RR6))</f>
        <v>0</v>
      </c>
      <c r="RO5" s="5">
        <f>IF(RO$42="有","见左",ROUND(SUMIF($B$43:$QL$43,RO$42,$B43:$QL$43),赔率设置!RS6))</f>
        <v>0</v>
      </c>
      <c r="RP5" s="5">
        <f>IF(RP$42="有","见左",ROUND(SUMIF($B$43:$QL$43,RP$42,$B43:$QL$43),赔率设置!RT6))</f>
        <v>0</v>
      </c>
      <c r="RQ5" s="5">
        <f>IF(RQ$42="有","见左",ROUND(SUMIF($B$43:$QL$43,RQ$42,$B43:$QL$43),赔率设置!RU6))</f>
        <v>0</v>
      </c>
      <c r="RR5" s="5">
        <f>IF(RR$42="有","见左",ROUND(SUMIF($B$43:$QL$43,RR$42,$B43:$QL$43),赔率设置!RV6))</f>
        <v>0</v>
      </c>
      <c r="RS5" s="5">
        <f>IF(RS$42="有","见左",ROUND(SUMIF($B$43:$QL$43,RS$42,$B43:$QL$43),赔率设置!RW6))</f>
        <v>0</v>
      </c>
      <c r="RT5" s="5">
        <f>IF(RT$42="有","见左",ROUND(SUMIF($B$43:$QL$43,RT$42,$B43:$QL$43),赔率设置!RX6))</f>
        <v>0</v>
      </c>
      <c r="RU5" s="5">
        <f>IF(RU$42="有","见左",ROUND(SUMIF($B$43:$QL$43,RU$42,$B43:$QL$43),赔率设置!RY6))</f>
        <v>0</v>
      </c>
      <c r="RV5" s="5">
        <f>IF(RV$42="有","见左",ROUND(SUMIF($B$43:$QL$43,RV$42,$B43:$QL$43),赔率设置!RZ6))</f>
        <v>0</v>
      </c>
      <c r="RW5" s="5">
        <f>IF(RW$42="有","见左",ROUND(SUMIF($B$43:$QL$43,RW$42,$B43:$QL$43),赔率设置!SA6))</f>
        <v>0</v>
      </c>
      <c r="RX5" s="5">
        <f>IF(RX$42="有","见左",ROUND(SUMIF($B$43:$QL$43,RX$42,$B43:$QL$43),赔率设置!SB6))</f>
        <v>0</v>
      </c>
      <c r="RY5" s="5">
        <f>IF(RY$42="有","见左",ROUND(SUMIF($B$43:$QL$43,RY$42,$B43:$QL$43),赔率设置!SC6))</f>
        <v>0</v>
      </c>
      <c r="RZ5" s="5">
        <f>IF(RZ$42="有","见左",ROUND(SUMIF($B$43:$QL$43,RZ$42,$B43:$QL$43),赔率设置!SD6))</f>
        <v>0</v>
      </c>
      <c r="SA5" s="5">
        <f>IF(SA$42="有","见左",ROUND(SUMIF($B$43:$QL$43,SA$42,$B43:$QL$43),赔率设置!SE6))</f>
        <v>0</v>
      </c>
      <c r="SB5" s="5">
        <f>IF(SB$42="有","见左",ROUND(SUMIF($B$43:$QL$43,SB$42,$B43:$QL$43),赔率设置!SF6))</f>
        <v>0</v>
      </c>
      <c r="SC5" s="5">
        <f>IF(SC$42="有","见左",ROUND(SUMIF($B$43:$QL$43,SC$42,$B43:$QL$43),赔率设置!SG6))</f>
        <v>0</v>
      </c>
      <c r="SD5" s="5">
        <f>IF(SD$42="有","见左",ROUND(SUMIF($B$43:$QL$43,SD$42,$B43:$QL$43),赔率设置!SH6))</f>
        <v>0</v>
      </c>
    </row>
    <row r="6" spans="1:498" s="5" customFormat="1" x14ac:dyDescent="0.25">
      <c r="A6" s="49" t="s">
        <v>9</v>
      </c>
      <c r="B6" s="51">
        <v>-1</v>
      </c>
      <c r="C6" s="51">
        <v>0.89999997615814209</v>
      </c>
      <c r="D6" s="51">
        <v>0.89999997615814209</v>
      </c>
      <c r="E6" s="51">
        <v>-1</v>
      </c>
      <c r="F6" s="51">
        <v>0</v>
      </c>
      <c r="G6" s="51">
        <v>0</v>
      </c>
      <c r="H6" s="51">
        <v>0</v>
      </c>
      <c r="I6" s="51">
        <v>0</v>
      </c>
      <c r="J6" s="51">
        <v>0</v>
      </c>
      <c r="K6" s="51">
        <v>0</v>
      </c>
      <c r="L6" s="51">
        <v>0</v>
      </c>
      <c r="M6" s="51">
        <v>0</v>
      </c>
      <c r="N6" s="51">
        <v>0</v>
      </c>
      <c r="O6" s="51">
        <v>0</v>
      </c>
      <c r="P6" s="51">
        <v>0</v>
      </c>
      <c r="Q6" s="51">
        <v>-11</v>
      </c>
      <c r="R6" s="51">
        <v>10.399999618530273</v>
      </c>
      <c r="S6" s="51">
        <v>0</v>
      </c>
      <c r="T6" s="51">
        <v>10.399999618530273</v>
      </c>
      <c r="U6" s="51">
        <v>77</v>
      </c>
      <c r="V6" s="51">
        <v>0</v>
      </c>
      <c r="W6" s="51">
        <v>0</v>
      </c>
      <c r="X6" s="51">
        <v>0</v>
      </c>
      <c r="Y6" s="51">
        <v>0</v>
      </c>
      <c r="Z6" s="51">
        <v>0</v>
      </c>
      <c r="AA6" s="51">
        <v>0</v>
      </c>
      <c r="AB6" s="51">
        <v>0</v>
      </c>
      <c r="AC6" s="51">
        <v>0</v>
      </c>
      <c r="AD6" s="51">
        <v>0</v>
      </c>
      <c r="AE6" s="51">
        <v>0</v>
      </c>
      <c r="AF6" s="38">
        <v>0</v>
      </c>
      <c r="AG6" s="38">
        <v>0</v>
      </c>
      <c r="AH6" s="5">
        <v>0</v>
      </c>
      <c r="AI6" s="5">
        <v>0</v>
      </c>
      <c r="AJ6" s="5">
        <v>0</v>
      </c>
      <c r="AK6" s="5">
        <v>0</v>
      </c>
      <c r="AL6" s="5">
        <v>0</v>
      </c>
      <c r="AM6" s="5">
        <v>0</v>
      </c>
      <c r="AN6" s="5">
        <v>0</v>
      </c>
      <c r="AO6" s="5">
        <v>0</v>
      </c>
      <c r="AP6" s="5">
        <v>0</v>
      </c>
      <c r="AQ6" s="5">
        <v>0</v>
      </c>
      <c r="AR6" s="5">
        <v>0</v>
      </c>
      <c r="AS6" s="5">
        <v>0</v>
      </c>
      <c r="AT6" s="5">
        <v>0</v>
      </c>
      <c r="AU6" s="5">
        <v>0</v>
      </c>
      <c r="AV6" s="5">
        <v>0</v>
      </c>
      <c r="AW6" s="5">
        <v>0</v>
      </c>
      <c r="AX6" s="5">
        <v>0</v>
      </c>
      <c r="AY6" s="5">
        <v>0</v>
      </c>
    </row>
    <row r="7" spans="1:498" s="5" customFormat="1" x14ac:dyDescent="0.25">
      <c r="A7" s="49" t="s">
        <v>10</v>
      </c>
      <c r="B7" s="51">
        <f>SUM(B8:B33)</f>
        <v>1</v>
      </c>
      <c r="C7" s="51">
        <f t="shared" ref="C7:BN7" si="1">SUM(C8:C33)</f>
        <v>1</v>
      </c>
      <c r="D7" s="51">
        <f t="shared" si="1"/>
        <v>1</v>
      </c>
      <c r="E7" s="51">
        <f t="shared" si="1"/>
        <v>1</v>
      </c>
      <c r="F7" s="51">
        <f t="shared" si="1"/>
        <v>0</v>
      </c>
      <c r="G7" s="51">
        <f t="shared" si="1"/>
        <v>0</v>
      </c>
      <c r="H7" s="51">
        <f t="shared" si="1"/>
        <v>0</v>
      </c>
      <c r="I7" s="51">
        <f t="shared" si="1"/>
        <v>0</v>
      </c>
      <c r="J7" s="51">
        <f t="shared" si="1"/>
        <v>0</v>
      </c>
      <c r="K7" s="51">
        <f t="shared" si="1"/>
        <v>0</v>
      </c>
      <c r="L7" s="51">
        <f t="shared" si="1"/>
        <v>0</v>
      </c>
      <c r="M7" s="51">
        <f t="shared" si="1"/>
        <v>0</v>
      </c>
      <c r="N7" s="51">
        <f t="shared" si="1"/>
        <v>0</v>
      </c>
      <c r="O7" s="51">
        <f t="shared" si="1"/>
        <v>0</v>
      </c>
      <c r="P7" s="51">
        <f t="shared" si="1"/>
        <v>0</v>
      </c>
      <c r="Q7" s="51">
        <f t="shared" si="1"/>
        <v>11</v>
      </c>
      <c r="R7" s="51">
        <f t="shared" si="1"/>
        <v>11</v>
      </c>
      <c r="S7" s="51">
        <f t="shared" si="1"/>
        <v>0</v>
      </c>
      <c r="T7" s="51">
        <f t="shared" si="1"/>
        <v>11</v>
      </c>
      <c r="U7" s="51">
        <f t="shared" si="1"/>
        <v>11</v>
      </c>
      <c r="V7" s="51">
        <f t="shared" si="1"/>
        <v>0</v>
      </c>
      <c r="W7" s="51">
        <f t="shared" si="1"/>
        <v>0</v>
      </c>
      <c r="X7" s="51">
        <f t="shared" si="1"/>
        <v>0</v>
      </c>
      <c r="Y7" s="51">
        <f t="shared" si="1"/>
        <v>0</v>
      </c>
      <c r="Z7" s="51">
        <f t="shared" si="1"/>
        <v>0</v>
      </c>
      <c r="AA7" s="51">
        <f t="shared" si="1"/>
        <v>0</v>
      </c>
      <c r="AB7" s="51">
        <f t="shared" si="1"/>
        <v>0</v>
      </c>
      <c r="AC7" s="51">
        <f t="shared" si="1"/>
        <v>0</v>
      </c>
      <c r="AD7" s="51">
        <f t="shared" si="1"/>
        <v>0</v>
      </c>
      <c r="AE7" s="51">
        <f t="shared" si="1"/>
        <v>0</v>
      </c>
      <c r="AF7" s="38">
        <f>SUM(AF8:AF33)</f>
        <v>0</v>
      </c>
      <c r="AG7" s="38">
        <f t="shared" si="1"/>
        <v>0</v>
      </c>
      <c r="AH7" s="5">
        <f t="shared" si="1"/>
        <v>0</v>
      </c>
      <c r="AI7" s="5">
        <f t="shared" si="1"/>
        <v>0</v>
      </c>
      <c r="AJ7" s="5">
        <f t="shared" si="1"/>
        <v>0</v>
      </c>
      <c r="AK7" s="5">
        <f t="shared" si="1"/>
        <v>0</v>
      </c>
      <c r="AL7" s="5">
        <f t="shared" si="1"/>
        <v>0</v>
      </c>
      <c r="AM7" s="5">
        <f t="shared" si="1"/>
        <v>0</v>
      </c>
      <c r="AN7" s="5">
        <f t="shared" si="1"/>
        <v>0</v>
      </c>
      <c r="AO7" s="5">
        <f t="shared" si="1"/>
        <v>0</v>
      </c>
      <c r="AP7" s="5">
        <f t="shared" si="1"/>
        <v>0</v>
      </c>
      <c r="AQ7" s="5">
        <f t="shared" si="1"/>
        <v>0</v>
      </c>
      <c r="AR7" s="5">
        <f t="shared" si="1"/>
        <v>0</v>
      </c>
      <c r="AS7" s="5">
        <f t="shared" si="1"/>
        <v>0</v>
      </c>
      <c r="AT7" s="5">
        <f t="shared" si="1"/>
        <v>0</v>
      </c>
      <c r="AU7" s="5">
        <f t="shared" si="1"/>
        <v>0</v>
      </c>
      <c r="AV7" s="5">
        <f t="shared" si="1"/>
        <v>0</v>
      </c>
      <c r="AW7" s="5">
        <f t="shared" si="1"/>
        <v>0</v>
      </c>
      <c r="AX7" s="5">
        <f t="shared" si="1"/>
        <v>0</v>
      </c>
      <c r="AY7" s="5">
        <f t="shared" si="1"/>
        <v>0</v>
      </c>
      <c r="AZ7" s="5">
        <f t="shared" si="1"/>
        <v>0</v>
      </c>
      <c r="BA7" s="5">
        <f t="shared" si="1"/>
        <v>0</v>
      </c>
      <c r="BB7" s="5">
        <f t="shared" si="1"/>
        <v>0</v>
      </c>
      <c r="BC7" s="5">
        <f t="shared" si="1"/>
        <v>0</v>
      </c>
      <c r="BD7" s="5">
        <f t="shared" si="1"/>
        <v>0</v>
      </c>
      <c r="BE7" s="5">
        <f t="shared" si="1"/>
        <v>0</v>
      </c>
      <c r="BF7" s="5">
        <f t="shared" si="1"/>
        <v>0</v>
      </c>
      <c r="BG7" s="5">
        <f t="shared" si="1"/>
        <v>0</v>
      </c>
      <c r="BH7" s="5">
        <f t="shared" si="1"/>
        <v>0</v>
      </c>
      <c r="BI7" s="5">
        <f t="shared" si="1"/>
        <v>0</v>
      </c>
      <c r="BJ7" s="5">
        <f t="shared" si="1"/>
        <v>0</v>
      </c>
      <c r="BK7" s="5">
        <f t="shared" si="1"/>
        <v>0</v>
      </c>
      <c r="BL7" s="5">
        <f t="shared" si="1"/>
        <v>0</v>
      </c>
      <c r="BM7" s="5">
        <f t="shared" si="1"/>
        <v>0</v>
      </c>
      <c r="BN7" s="5">
        <f t="shared" si="1"/>
        <v>0</v>
      </c>
      <c r="BO7" s="5">
        <f t="shared" ref="BO7:DZ7" si="2">SUM(BO8:BO33)</f>
        <v>0</v>
      </c>
      <c r="BP7" s="5">
        <f t="shared" si="2"/>
        <v>0</v>
      </c>
      <c r="BQ7" s="5">
        <f t="shared" si="2"/>
        <v>0</v>
      </c>
      <c r="BR7" s="5">
        <f t="shared" si="2"/>
        <v>0</v>
      </c>
      <c r="BS7" s="5">
        <f t="shared" si="2"/>
        <v>0</v>
      </c>
      <c r="BT7" s="5">
        <f t="shared" si="2"/>
        <v>0</v>
      </c>
      <c r="BU7" s="5">
        <f t="shared" si="2"/>
        <v>0</v>
      </c>
      <c r="BV7" s="5">
        <f t="shared" si="2"/>
        <v>0</v>
      </c>
      <c r="BW7" s="5">
        <f t="shared" si="2"/>
        <v>0</v>
      </c>
      <c r="BX7" s="5">
        <f t="shared" si="2"/>
        <v>0</v>
      </c>
      <c r="BY7" s="5">
        <f t="shared" si="2"/>
        <v>0</v>
      </c>
      <c r="BZ7" s="5">
        <f t="shared" si="2"/>
        <v>0</v>
      </c>
      <c r="CA7" s="5">
        <f t="shared" si="2"/>
        <v>0</v>
      </c>
      <c r="CB7" s="5">
        <f t="shared" si="2"/>
        <v>0</v>
      </c>
      <c r="CC7" s="5">
        <f t="shared" si="2"/>
        <v>0</v>
      </c>
      <c r="CD7" s="5">
        <f t="shared" si="2"/>
        <v>0</v>
      </c>
      <c r="CE7" s="5">
        <f t="shared" si="2"/>
        <v>0</v>
      </c>
      <c r="CF7" s="5">
        <f t="shared" si="2"/>
        <v>0</v>
      </c>
      <c r="CG7" s="5">
        <f t="shared" si="2"/>
        <v>0</v>
      </c>
      <c r="CH7" s="5">
        <f t="shared" si="2"/>
        <v>0</v>
      </c>
      <c r="CI7" s="5">
        <f t="shared" si="2"/>
        <v>0</v>
      </c>
      <c r="CJ7" s="5">
        <f t="shared" si="2"/>
        <v>0</v>
      </c>
      <c r="CK7" s="5">
        <f t="shared" si="2"/>
        <v>0</v>
      </c>
      <c r="CL7" s="5">
        <f t="shared" si="2"/>
        <v>0</v>
      </c>
      <c r="CM7" s="5">
        <f t="shared" si="2"/>
        <v>0</v>
      </c>
      <c r="CN7" s="5">
        <f t="shared" si="2"/>
        <v>0</v>
      </c>
      <c r="CO7" s="5">
        <f t="shared" si="2"/>
        <v>0</v>
      </c>
      <c r="CP7" s="5">
        <f t="shared" si="2"/>
        <v>0</v>
      </c>
      <c r="CQ7" s="5">
        <f t="shared" si="2"/>
        <v>0</v>
      </c>
      <c r="CR7" s="5">
        <f t="shared" si="2"/>
        <v>0</v>
      </c>
      <c r="CS7" s="5">
        <f t="shared" si="2"/>
        <v>0</v>
      </c>
      <c r="CT7" s="5">
        <f t="shared" si="2"/>
        <v>0</v>
      </c>
      <c r="CU7" s="5">
        <f t="shared" si="2"/>
        <v>0</v>
      </c>
      <c r="CV7" s="5">
        <f t="shared" si="2"/>
        <v>0</v>
      </c>
      <c r="CW7" s="5">
        <f t="shared" si="2"/>
        <v>0</v>
      </c>
      <c r="CX7" s="5">
        <f t="shared" si="2"/>
        <v>0</v>
      </c>
      <c r="CY7" s="5">
        <f t="shared" si="2"/>
        <v>0</v>
      </c>
      <c r="CZ7" s="5">
        <f t="shared" si="2"/>
        <v>0</v>
      </c>
      <c r="DA7" s="5">
        <f t="shared" si="2"/>
        <v>0</v>
      </c>
      <c r="DB7" s="5">
        <f t="shared" si="2"/>
        <v>0</v>
      </c>
      <c r="DC7" s="5">
        <f t="shared" si="2"/>
        <v>0</v>
      </c>
      <c r="DD7" s="5">
        <f t="shared" si="2"/>
        <v>0</v>
      </c>
      <c r="DE7" s="5">
        <f t="shared" si="2"/>
        <v>0</v>
      </c>
      <c r="DF7" s="5">
        <f t="shared" si="2"/>
        <v>0</v>
      </c>
      <c r="DG7" s="5">
        <f t="shared" si="2"/>
        <v>0</v>
      </c>
      <c r="DH7" s="5">
        <f t="shared" si="2"/>
        <v>0</v>
      </c>
      <c r="DI7" s="5">
        <f t="shared" si="2"/>
        <v>0</v>
      </c>
      <c r="DJ7" s="5">
        <f t="shared" si="2"/>
        <v>0</v>
      </c>
      <c r="DK7" s="5">
        <f t="shared" si="2"/>
        <v>0</v>
      </c>
      <c r="DL7" s="5">
        <f t="shared" si="2"/>
        <v>0</v>
      </c>
      <c r="DM7" s="5">
        <f t="shared" si="2"/>
        <v>0</v>
      </c>
      <c r="DN7" s="5">
        <f t="shared" si="2"/>
        <v>0</v>
      </c>
      <c r="DO7" s="5">
        <f t="shared" si="2"/>
        <v>0</v>
      </c>
      <c r="DP7" s="5">
        <f t="shared" si="2"/>
        <v>0</v>
      </c>
      <c r="DQ7" s="5">
        <f t="shared" si="2"/>
        <v>0</v>
      </c>
      <c r="DR7" s="5">
        <f t="shared" si="2"/>
        <v>0</v>
      </c>
      <c r="DS7" s="5">
        <f t="shared" si="2"/>
        <v>0</v>
      </c>
      <c r="DT7" s="5">
        <f t="shared" si="2"/>
        <v>0</v>
      </c>
      <c r="DU7" s="5">
        <f t="shared" si="2"/>
        <v>0</v>
      </c>
      <c r="DV7" s="5">
        <f t="shared" si="2"/>
        <v>0</v>
      </c>
      <c r="DW7" s="5">
        <f t="shared" si="2"/>
        <v>0</v>
      </c>
      <c r="DX7" s="5">
        <f t="shared" si="2"/>
        <v>0</v>
      </c>
      <c r="DY7" s="5">
        <f t="shared" si="2"/>
        <v>0</v>
      </c>
      <c r="DZ7" s="5">
        <f t="shared" si="2"/>
        <v>0</v>
      </c>
      <c r="EA7" s="5">
        <f t="shared" ref="EA7:GL7" si="3">SUM(EA8:EA33)</f>
        <v>0</v>
      </c>
      <c r="EB7" s="5">
        <f t="shared" si="3"/>
        <v>0</v>
      </c>
      <c r="EC7" s="5">
        <f t="shared" si="3"/>
        <v>0</v>
      </c>
      <c r="ED7" s="5">
        <f t="shared" si="3"/>
        <v>0</v>
      </c>
      <c r="EE7" s="5">
        <f t="shared" si="3"/>
        <v>0</v>
      </c>
      <c r="EF7" s="5">
        <f t="shared" si="3"/>
        <v>0</v>
      </c>
      <c r="EG7" s="5">
        <f t="shared" si="3"/>
        <v>0</v>
      </c>
      <c r="EH7" s="5">
        <f t="shared" si="3"/>
        <v>0</v>
      </c>
      <c r="EI7" s="5">
        <f t="shared" si="3"/>
        <v>0</v>
      </c>
      <c r="EJ7" s="5">
        <f t="shared" si="3"/>
        <v>0</v>
      </c>
      <c r="EK7" s="5">
        <f t="shared" si="3"/>
        <v>0</v>
      </c>
      <c r="EL7" s="5">
        <f t="shared" si="3"/>
        <v>0</v>
      </c>
      <c r="EM7" s="5">
        <f t="shared" si="3"/>
        <v>0</v>
      </c>
      <c r="EN7" s="5">
        <f t="shared" si="3"/>
        <v>0</v>
      </c>
      <c r="EO7" s="5">
        <f t="shared" si="3"/>
        <v>0</v>
      </c>
      <c r="EP7" s="5">
        <f t="shared" si="3"/>
        <v>0</v>
      </c>
      <c r="EQ7" s="5">
        <f t="shared" si="3"/>
        <v>0</v>
      </c>
      <c r="ER7" s="5">
        <f t="shared" si="3"/>
        <v>0</v>
      </c>
      <c r="ES7" s="5">
        <f t="shared" si="3"/>
        <v>0</v>
      </c>
      <c r="ET7" s="5">
        <f t="shared" si="3"/>
        <v>0</v>
      </c>
      <c r="EU7" s="5">
        <f t="shared" si="3"/>
        <v>0</v>
      </c>
      <c r="EV7" s="5">
        <f t="shared" si="3"/>
        <v>0</v>
      </c>
      <c r="EW7" s="5">
        <f t="shared" si="3"/>
        <v>0</v>
      </c>
      <c r="EX7" s="5">
        <f t="shared" si="3"/>
        <v>0</v>
      </c>
      <c r="EY7" s="5">
        <f t="shared" si="3"/>
        <v>0</v>
      </c>
      <c r="EZ7" s="5">
        <f t="shared" si="3"/>
        <v>0</v>
      </c>
      <c r="FA7" s="5">
        <f t="shared" si="3"/>
        <v>0</v>
      </c>
      <c r="FB7" s="5">
        <f t="shared" si="3"/>
        <v>0</v>
      </c>
      <c r="FC7" s="5">
        <f t="shared" si="3"/>
        <v>0</v>
      </c>
      <c r="FD7" s="5">
        <f t="shared" si="3"/>
        <v>0</v>
      </c>
      <c r="FE7" s="5">
        <f t="shared" si="3"/>
        <v>0</v>
      </c>
      <c r="FF7" s="5">
        <f t="shared" si="3"/>
        <v>0</v>
      </c>
      <c r="FG7" s="5">
        <f t="shared" si="3"/>
        <v>0</v>
      </c>
      <c r="FH7" s="5">
        <f t="shared" si="3"/>
        <v>0</v>
      </c>
      <c r="FI7" s="5">
        <f t="shared" si="3"/>
        <v>0</v>
      </c>
      <c r="FJ7" s="5">
        <f t="shared" si="3"/>
        <v>0</v>
      </c>
      <c r="FK7" s="5">
        <f t="shared" si="3"/>
        <v>0</v>
      </c>
      <c r="FL7" s="5">
        <f t="shared" si="3"/>
        <v>0</v>
      </c>
      <c r="FM7" s="5">
        <f t="shared" si="3"/>
        <v>0</v>
      </c>
      <c r="FN7" s="5">
        <f t="shared" si="3"/>
        <v>0</v>
      </c>
      <c r="FO7" s="5">
        <f t="shared" si="3"/>
        <v>0</v>
      </c>
      <c r="FP7" s="5">
        <f t="shared" si="3"/>
        <v>0</v>
      </c>
      <c r="FQ7" s="5">
        <f t="shared" si="3"/>
        <v>0</v>
      </c>
      <c r="FR7" s="5">
        <f t="shared" si="3"/>
        <v>0</v>
      </c>
      <c r="FS7" s="5">
        <f t="shared" si="3"/>
        <v>0</v>
      </c>
      <c r="FT7" s="5">
        <f t="shared" si="3"/>
        <v>0</v>
      </c>
      <c r="FU7" s="5">
        <f t="shared" si="3"/>
        <v>0</v>
      </c>
      <c r="FV7" s="5">
        <f t="shared" si="3"/>
        <v>0</v>
      </c>
      <c r="FW7" s="5">
        <f t="shared" si="3"/>
        <v>0</v>
      </c>
      <c r="FX7" s="5">
        <f t="shared" si="3"/>
        <v>0</v>
      </c>
      <c r="FY7" s="5">
        <f t="shared" si="3"/>
        <v>0</v>
      </c>
      <c r="FZ7" s="5">
        <f t="shared" si="3"/>
        <v>0</v>
      </c>
      <c r="GA7" s="5">
        <f t="shared" si="3"/>
        <v>0</v>
      </c>
      <c r="GB7" s="5">
        <f t="shared" si="3"/>
        <v>0</v>
      </c>
      <c r="GC7" s="5">
        <f t="shared" si="3"/>
        <v>0</v>
      </c>
      <c r="GD7" s="5">
        <f t="shared" si="3"/>
        <v>0</v>
      </c>
      <c r="GE7" s="5">
        <f t="shared" si="3"/>
        <v>0</v>
      </c>
      <c r="GF7" s="5">
        <f t="shared" si="3"/>
        <v>0</v>
      </c>
      <c r="GG7" s="5">
        <f t="shared" si="3"/>
        <v>0</v>
      </c>
      <c r="GH7" s="5">
        <f t="shared" si="3"/>
        <v>0</v>
      </c>
      <c r="GI7" s="5">
        <f t="shared" si="3"/>
        <v>0</v>
      </c>
      <c r="GJ7" s="5">
        <f t="shared" si="3"/>
        <v>0</v>
      </c>
      <c r="GK7" s="5">
        <f t="shared" si="3"/>
        <v>0</v>
      </c>
      <c r="GL7" s="5">
        <f t="shared" si="3"/>
        <v>0</v>
      </c>
      <c r="GM7" s="5">
        <f t="shared" ref="GM7:IX7" si="4">SUM(GM8:GM33)</f>
        <v>0</v>
      </c>
      <c r="GN7" s="5">
        <f t="shared" si="4"/>
        <v>0</v>
      </c>
      <c r="GO7" s="5">
        <f t="shared" si="4"/>
        <v>0</v>
      </c>
      <c r="GP7" s="5">
        <f t="shared" si="4"/>
        <v>0</v>
      </c>
      <c r="GQ7" s="5">
        <f t="shared" si="4"/>
        <v>0</v>
      </c>
      <c r="GR7" s="5">
        <f t="shared" si="4"/>
        <v>0</v>
      </c>
      <c r="GS7" s="5">
        <f t="shared" si="4"/>
        <v>0</v>
      </c>
      <c r="GT7" s="5">
        <f t="shared" si="4"/>
        <v>0</v>
      </c>
      <c r="GU7" s="5">
        <f t="shared" si="4"/>
        <v>0</v>
      </c>
      <c r="GV7" s="5">
        <f t="shared" si="4"/>
        <v>0</v>
      </c>
      <c r="GW7" s="5">
        <f t="shared" si="4"/>
        <v>0</v>
      </c>
      <c r="GX7" s="5">
        <f t="shared" si="4"/>
        <v>0</v>
      </c>
      <c r="GY7" s="5">
        <f t="shared" si="4"/>
        <v>0</v>
      </c>
      <c r="GZ7" s="5">
        <f t="shared" si="4"/>
        <v>0</v>
      </c>
      <c r="HA7" s="5">
        <f t="shared" si="4"/>
        <v>0</v>
      </c>
      <c r="HB7" s="5">
        <f t="shared" si="4"/>
        <v>0</v>
      </c>
      <c r="HC7" s="5">
        <f t="shared" si="4"/>
        <v>0</v>
      </c>
      <c r="HD7" s="5">
        <f t="shared" si="4"/>
        <v>0</v>
      </c>
      <c r="HE7" s="5">
        <f t="shared" si="4"/>
        <v>0</v>
      </c>
      <c r="HF7" s="5">
        <f t="shared" si="4"/>
        <v>0</v>
      </c>
      <c r="HG7" s="5">
        <f t="shared" si="4"/>
        <v>0</v>
      </c>
      <c r="HH7" s="5">
        <f t="shared" si="4"/>
        <v>0</v>
      </c>
      <c r="HI7" s="5">
        <f t="shared" si="4"/>
        <v>0</v>
      </c>
      <c r="HJ7" s="5">
        <f t="shared" si="4"/>
        <v>0</v>
      </c>
      <c r="HK7" s="5">
        <f t="shared" si="4"/>
        <v>0</v>
      </c>
      <c r="HL7" s="5">
        <f t="shared" si="4"/>
        <v>0</v>
      </c>
      <c r="HM7" s="5">
        <f t="shared" si="4"/>
        <v>0</v>
      </c>
      <c r="HN7" s="5">
        <f t="shared" si="4"/>
        <v>0</v>
      </c>
      <c r="HO7" s="5">
        <f t="shared" si="4"/>
        <v>0</v>
      </c>
      <c r="HP7" s="5">
        <f t="shared" si="4"/>
        <v>0</v>
      </c>
      <c r="HQ7" s="5">
        <f t="shared" si="4"/>
        <v>0</v>
      </c>
      <c r="HR7" s="5">
        <f t="shared" si="4"/>
        <v>0</v>
      </c>
      <c r="HS7" s="5">
        <f t="shared" si="4"/>
        <v>0</v>
      </c>
      <c r="HT7" s="5">
        <f t="shared" si="4"/>
        <v>0</v>
      </c>
      <c r="HU7" s="5">
        <f t="shared" si="4"/>
        <v>0</v>
      </c>
      <c r="HV7" s="5">
        <f t="shared" si="4"/>
        <v>0</v>
      </c>
      <c r="HW7" s="5">
        <f t="shared" si="4"/>
        <v>0</v>
      </c>
      <c r="HX7" s="5">
        <f t="shared" si="4"/>
        <v>0</v>
      </c>
      <c r="HY7" s="5">
        <f t="shared" si="4"/>
        <v>0</v>
      </c>
      <c r="HZ7" s="5">
        <f t="shared" si="4"/>
        <v>0</v>
      </c>
      <c r="IA7" s="5">
        <f t="shared" si="4"/>
        <v>0</v>
      </c>
      <c r="IB7" s="5">
        <f t="shared" si="4"/>
        <v>0</v>
      </c>
      <c r="IC7" s="5">
        <f t="shared" si="4"/>
        <v>0</v>
      </c>
      <c r="ID7" s="5">
        <f t="shared" si="4"/>
        <v>0</v>
      </c>
      <c r="IE7" s="5">
        <f t="shared" si="4"/>
        <v>0</v>
      </c>
      <c r="IF7" s="5">
        <f t="shared" si="4"/>
        <v>0</v>
      </c>
      <c r="IG7" s="5">
        <f t="shared" si="4"/>
        <v>0</v>
      </c>
      <c r="IH7" s="5">
        <f t="shared" si="4"/>
        <v>0</v>
      </c>
      <c r="II7" s="5">
        <f t="shared" si="4"/>
        <v>0</v>
      </c>
      <c r="IJ7" s="5">
        <f t="shared" si="4"/>
        <v>0</v>
      </c>
      <c r="IK7" s="5">
        <f t="shared" si="4"/>
        <v>0</v>
      </c>
      <c r="IL7" s="5">
        <f t="shared" si="4"/>
        <v>0</v>
      </c>
      <c r="IM7" s="5">
        <f t="shared" si="4"/>
        <v>0</v>
      </c>
      <c r="IN7" s="5">
        <f t="shared" si="4"/>
        <v>0</v>
      </c>
      <c r="IO7" s="5">
        <f t="shared" si="4"/>
        <v>0</v>
      </c>
      <c r="IP7" s="5">
        <f t="shared" si="4"/>
        <v>0</v>
      </c>
      <c r="IQ7" s="5">
        <f t="shared" si="4"/>
        <v>0</v>
      </c>
      <c r="IR7" s="5">
        <f t="shared" si="4"/>
        <v>0</v>
      </c>
      <c r="IS7" s="5">
        <f t="shared" si="4"/>
        <v>0</v>
      </c>
      <c r="IT7" s="5">
        <f t="shared" si="4"/>
        <v>0</v>
      </c>
      <c r="IU7" s="5">
        <f t="shared" si="4"/>
        <v>0</v>
      </c>
      <c r="IV7" s="5">
        <f t="shared" si="4"/>
        <v>0</v>
      </c>
      <c r="IW7" s="5">
        <f t="shared" si="4"/>
        <v>0</v>
      </c>
      <c r="IX7" s="5">
        <f t="shared" si="4"/>
        <v>0</v>
      </c>
      <c r="IY7" s="5">
        <f t="shared" ref="IY7:LJ7" si="5">SUM(IY8:IY33)</f>
        <v>0</v>
      </c>
      <c r="IZ7" s="5">
        <f t="shared" si="5"/>
        <v>0</v>
      </c>
      <c r="JA7" s="5">
        <f t="shared" si="5"/>
        <v>0</v>
      </c>
      <c r="JB7" s="5">
        <f t="shared" si="5"/>
        <v>0</v>
      </c>
      <c r="JC7" s="5">
        <f t="shared" si="5"/>
        <v>0</v>
      </c>
      <c r="JD7" s="5">
        <f t="shared" si="5"/>
        <v>0</v>
      </c>
      <c r="JE7" s="5">
        <f t="shared" si="5"/>
        <v>0</v>
      </c>
      <c r="JF7" s="5">
        <f t="shared" si="5"/>
        <v>0</v>
      </c>
      <c r="JG7" s="5">
        <f t="shared" si="5"/>
        <v>0</v>
      </c>
      <c r="JH7" s="5">
        <f t="shared" si="5"/>
        <v>0</v>
      </c>
      <c r="JI7" s="5">
        <f t="shared" si="5"/>
        <v>0</v>
      </c>
      <c r="JJ7" s="5">
        <f t="shared" si="5"/>
        <v>0</v>
      </c>
      <c r="JK7" s="5">
        <f t="shared" si="5"/>
        <v>0</v>
      </c>
      <c r="JL7" s="5">
        <f t="shared" si="5"/>
        <v>0</v>
      </c>
      <c r="JM7" s="5">
        <f t="shared" si="5"/>
        <v>0</v>
      </c>
      <c r="JN7" s="5">
        <f t="shared" si="5"/>
        <v>0</v>
      </c>
      <c r="JO7" s="5">
        <f t="shared" si="5"/>
        <v>0</v>
      </c>
      <c r="JP7" s="5">
        <f t="shared" si="5"/>
        <v>0</v>
      </c>
      <c r="JQ7" s="5">
        <f t="shared" si="5"/>
        <v>0</v>
      </c>
      <c r="JR7" s="5">
        <f t="shared" si="5"/>
        <v>0</v>
      </c>
      <c r="JS7" s="5">
        <f t="shared" si="5"/>
        <v>0</v>
      </c>
      <c r="JT7" s="5">
        <f t="shared" si="5"/>
        <v>0</v>
      </c>
      <c r="JU7" s="5">
        <f t="shared" si="5"/>
        <v>0</v>
      </c>
      <c r="JV7" s="5">
        <f t="shared" si="5"/>
        <v>0</v>
      </c>
      <c r="JW7" s="5">
        <f t="shared" si="5"/>
        <v>0</v>
      </c>
      <c r="JX7" s="5">
        <f t="shared" si="5"/>
        <v>0</v>
      </c>
      <c r="JY7" s="5">
        <f t="shared" si="5"/>
        <v>0</v>
      </c>
      <c r="JZ7" s="5">
        <f t="shared" si="5"/>
        <v>0</v>
      </c>
      <c r="KA7" s="5">
        <f t="shared" si="5"/>
        <v>0</v>
      </c>
      <c r="KB7" s="5">
        <f t="shared" si="5"/>
        <v>0</v>
      </c>
      <c r="KC7" s="5">
        <f t="shared" si="5"/>
        <v>0</v>
      </c>
      <c r="KD7" s="5">
        <f t="shared" si="5"/>
        <v>0</v>
      </c>
      <c r="KE7" s="5">
        <f t="shared" si="5"/>
        <v>0</v>
      </c>
      <c r="KF7" s="5">
        <f t="shared" si="5"/>
        <v>0</v>
      </c>
      <c r="KG7" s="5">
        <f t="shared" si="5"/>
        <v>0</v>
      </c>
      <c r="KH7" s="5">
        <f t="shared" si="5"/>
        <v>0</v>
      </c>
      <c r="KI7" s="5">
        <f t="shared" si="5"/>
        <v>0</v>
      </c>
      <c r="KJ7" s="5">
        <f t="shared" si="5"/>
        <v>0</v>
      </c>
      <c r="KK7" s="5">
        <f t="shared" si="5"/>
        <v>0</v>
      </c>
      <c r="KL7" s="5">
        <f t="shared" si="5"/>
        <v>0</v>
      </c>
      <c r="KM7" s="5">
        <f t="shared" si="5"/>
        <v>0</v>
      </c>
      <c r="KN7" s="5">
        <f t="shared" si="5"/>
        <v>0</v>
      </c>
      <c r="KO7" s="5">
        <f t="shared" si="5"/>
        <v>0</v>
      </c>
      <c r="KP7" s="5">
        <f t="shared" si="5"/>
        <v>0</v>
      </c>
      <c r="KQ7" s="5">
        <f t="shared" si="5"/>
        <v>0</v>
      </c>
      <c r="KR7" s="5">
        <f t="shared" si="5"/>
        <v>0</v>
      </c>
      <c r="KS7" s="5">
        <f t="shared" si="5"/>
        <v>0</v>
      </c>
      <c r="KT7" s="5">
        <f t="shared" si="5"/>
        <v>0</v>
      </c>
      <c r="KU7" s="5">
        <f t="shared" si="5"/>
        <v>0</v>
      </c>
      <c r="KV7" s="5">
        <f t="shared" si="5"/>
        <v>0</v>
      </c>
      <c r="KW7" s="5">
        <f t="shared" si="5"/>
        <v>0</v>
      </c>
      <c r="KX7" s="5">
        <f t="shared" si="5"/>
        <v>0</v>
      </c>
      <c r="KY7" s="5">
        <f t="shared" si="5"/>
        <v>0</v>
      </c>
      <c r="KZ7" s="5">
        <f t="shared" si="5"/>
        <v>0</v>
      </c>
      <c r="LA7" s="5">
        <f t="shared" si="5"/>
        <v>0</v>
      </c>
      <c r="LB7" s="5">
        <f t="shared" si="5"/>
        <v>0</v>
      </c>
      <c r="LC7" s="5">
        <f t="shared" si="5"/>
        <v>0</v>
      </c>
      <c r="LD7" s="5">
        <f t="shared" si="5"/>
        <v>0</v>
      </c>
      <c r="LE7" s="5">
        <f t="shared" si="5"/>
        <v>0</v>
      </c>
      <c r="LF7" s="5">
        <f t="shared" si="5"/>
        <v>0</v>
      </c>
      <c r="LG7" s="5">
        <f t="shared" si="5"/>
        <v>0</v>
      </c>
      <c r="LH7" s="5">
        <f t="shared" si="5"/>
        <v>0</v>
      </c>
      <c r="LI7" s="5">
        <f t="shared" si="5"/>
        <v>0</v>
      </c>
      <c r="LJ7" s="5">
        <f t="shared" si="5"/>
        <v>0</v>
      </c>
      <c r="LK7" s="5">
        <f t="shared" ref="LK7:NV7" si="6">SUM(LK8:LK33)</f>
        <v>0</v>
      </c>
      <c r="LL7" s="5">
        <f t="shared" si="6"/>
        <v>0</v>
      </c>
      <c r="LM7" s="5">
        <f t="shared" si="6"/>
        <v>0</v>
      </c>
      <c r="LN7" s="5">
        <f t="shared" si="6"/>
        <v>0</v>
      </c>
      <c r="LO7" s="5">
        <f t="shared" si="6"/>
        <v>0</v>
      </c>
      <c r="LP7" s="5">
        <f t="shared" si="6"/>
        <v>0</v>
      </c>
      <c r="LQ7" s="5">
        <f t="shared" si="6"/>
        <v>0</v>
      </c>
      <c r="LR7" s="5">
        <f t="shared" si="6"/>
        <v>0</v>
      </c>
      <c r="LS7" s="5">
        <f t="shared" si="6"/>
        <v>0</v>
      </c>
      <c r="LT7" s="5">
        <f t="shared" si="6"/>
        <v>0</v>
      </c>
      <c r="LU7" s="5">
        <f t="shared" si="6"/>
        <v>0</v>
      </c>
      <c r="LV7" s="5">
        <f t="shared" si="6"/>
        <v>0</v>
      </c>
      <c r="LW7" s="5">
        <f t="shared" si="6"/>
        <v>0</v>
      </c>
      <c r="LX7" s="5">
        <f t="shared" si="6"/>
        <v>0</v>
      </c>
      <c r="LY7" s="5">
        <f t="shared" si="6"/>
        <v>0</v>
      </c>
      <c r="LZ7" s="5">
        <f t="shared" si="6"/>
        <v>0</v>
      </c>
      <c r="MA7" s="5">
        <f t="shared" si="6"/>
        <v>0</v>
      </c>
      <c r="MB7" s="5">
        <f t="shared" si="6"/>
        <v>0</v>
      </c>
      <c r="MC7" s="5">
        <f t="shared" si="6"/>
        <v>0</v>
      </c>
      <c r="MD7" s="5">
        <f t="shared" si="6"/>
        <v>0</v>
      </c>
      <c r="ME7" s="5">
        <f t="shared" si="6"/>
        <v>0</v>
      </c>
      <c r="MF7" s="5">
        <f t="shared" si="6"/>
        <v>0</v>
      </c>
      <c r="MG7" s="5">
        <f t="shared" si="6"/>
        <v>0</v>
      </c>
      <c r="MH7" s="5">
        <f t="shared" si="6"/>
        <v>0</v>
      </c>
      <c r="MI7" s="5">
        <f t="shared" si="6"/>
        <v>0</v>
      </c>
      <c r="MJ7" s="5">
        <f t="shared" si="6"/>
        <v>0</v>
      </c>
      <c r="MK7" s="5">
        <f t="shared" si="6"/>
        <v>0</v>
      </c>
      <c r="ML7" s="5">
        <f t="shared" si="6"/>
        <v>0</v>
      </c>
      <c r="MM7" s="5">
        <f t="shared" si="6"/>
        <v>0</v>
      </c>
      <c r="MN7" s="5">
        <f t="shared" si="6"/>
        <v>0</v>
      </c>
      <c r="MO7" s="5">
        <f t="shared" si="6"/>
        <v>0</v>
      </c>
      <c r="MP7" s="5">
        <f t="shared" si="6"/>
        <v>0</v>
      </c>
      <c r="MQ7" s="5">
        <f t="shared" si="6"/>
        <v>0</v>
      </c>
      <c r="MR7" s="5">
        <f t="shared" si="6"/>
        <v>0</v>
      </c>
      <c r="MS7" s="5">
        <f t="shared" si="6"/>
        <v>0</v>
      </c>
      <c r="MT7" s="5">
        <f t="shared" si="6"/>
        <v>0</v>
      </c>
      <c r="MU7" s="5">
        <f t="shared" si="6"/>
        <v>0</v>
      </c>
      <c r="MV7" s="5">
        <f t="shared" si="6"/>
        <v>0</v>
      </c>
      <c r="MW7" s="5">
        <f t="shared" si="6"/>
        <v>0</v>
      </c>
      <c r="MX7" s="5">
        <f t="shared" si="6"/>
        <v>0</v>
      </c>
      <c r="MY7" s="5">
        <f t="shared" si="6"/>
        <v>0</v>
      </c>
      <c r="MZ7" s="5">
        <f t="shared" si="6"/>
        <v>0</v>
      </c>
      <c r="NA7" s="5">
        <f t="shared" si="6"/>
        <v>0</v>
      </c>
      <c r="NB7" s="5">
        <f t="shared" si="6"/>
        <v>0</v>
      </c>
      <c r="NC7" s="5">
        <f t="shared" si="6"/>
        <v>0</v>
      </c>
      <c r="ND7" s="5">
        <f t="shared" si="6"/>
        <v>0</v>
      </c>
      <c r="NE7" s="5">
        <f t="shared" si="6"/>
        <v>0</v>
      </c>
      <c r="NF7" s="5">
        <f t="shared" si="6"/>
        <v>0</v>
      </c>
      <c r="NG7" s="5">
        <f t="shared" si="6"/>
        <v>0</v>
      </c>
      <c r="NH7" s="5">
        <f t="shared" si="6"/>
        <v>0</v>
      </c>
      <c r="NI7" s="5">
        <f t="shared" si="6"/>
        <v>0</v>
      </c>
      <c r="NJ7" s="5">
        <f t="shared" si="6"/>
        <v>0</v>
      </c>
      <c r="NK7" s="5">
        <f t="shared" si="6"/>
        <v>0</v>
      </c>
      <c r="NL7" s="5">
        <f t="shared" si="6"/>
        <v>0</v>
      </c>
      <c r="NM7" s="5">
        <f t="shared" si="6"/>
        <v>0</v>
      </c>
      <c r="NN7" s="5">
        <f t="shared" si="6"/>
        <v>0</v>
      </c>
      <c r="NO7" s="5">
        <f t="shared" si="6"/>
        <v>0</v>
      </c>
      <c r="NP7" s="5">
        <f t="shared" si="6"/>
        <v>0</v>
      </c>
      <c r="NQ7" s="5">
        <f t="shared" si="6"/>
        <v>0</v>
      </c>
      <c r="NR7" s="5">
        <f t="shared" si="6"/>
        <v>0</v>
      </c>
      <c r="NS7" s="5">
        <f t="shared" si="6"/>
        <v>0</v>
      </c>
      <c r="NT7" s="5">
        <f t="shared" si="6"/>
        <v>0</v>
      </c>
      <c r="NU7" s="5">
        <f t="shared" si="6"/>
        <v>0</v>
      </c>
      <c r="NV7" s="5">
        <f t="shared" si="6"/>
        <v>0</v>
      </c>
      <c r="NW7" s="5">
        <f t="shared" ref="NW7:QH7" si="7">SUM(NW8:NW33)</f>
        <v>0</v>
      </c>
      <c r="NX7" s="5">
        <f t="shared" si="7"/>
        <v>0</v>
      </c>
      <c r="NY7" s="5">
        <f t="shared" si="7"/>
        <v>0</v>
      </c>
      <c r="NZ7" s="5">
        <f t="shared" si="7"/>
        <v>0</v>
      </c>
      <c r="OA7" s="5">
        <f t="shared" si="7"/>
        <v>0</v>
      </c>
      <c r="OB7" s="5">
        <f t="shared" si="7"/>
        <v>0</v>
      </c>
      <c r="OC7" s="5">
        <f t="shared" si="7"/>
        <v>0</v>
      </c>
      <c r="OD7" s="5">
        <f t="shared" si="7"/>
        <v>0</v>
      </c>
      <c r="OE7" s="5">
        <f t="shared" si="7"/>
        <v>0</v>
      </c>
      <c r="OF7" s="5">
        <f t="shared" si="7"/>
        <v>0</v>
      </c>
      <c r="OG7" s="5">
        <f t="shared" si="7"/>
        <v>0</v>
      </c>
      <c r="OH7" s="5">
        <f t="shared" si="7"/>
        <v>0</v>
      </c>
      <c r="OI7" s="5">
        <f t="shared" si="7"/>
        <v>0</v>
      </c>
      <c r="OJ7" s="5">
        <f t="shared" si="7"/>
        <v>0</v>
      </c>
      <c r="OK7" s="5">
        <f t="shared" si="7"/>
        <v>0</v>
      </c>
      <c r="OL7" s="5">
        <f t="shared" si="7"/>
        <v>0</v>
      </c>
      <c r="OM7" s="5">
        <f t="shared" si="7"/>
        <v>0</v>
      </c>
      <c r="ON7" s="5">
        <f t="shared" si="7"/>
        <v>0</v>
      </c>
      <c r="OO7" s="5">
        <f t="shared" si="7"/>
        <v>0</v>
      </c>
      <c r="OP7" s="5">
        <f t="shared" si="7"/>
        <v>0</v>
      </c>
      <c r="OQ7" s="5">
        <f t="shared" si="7"/>
        <v>0</v>
      </c>
      <c r="OR7" s="5">
        <f t="shared" si="7"/>
        <v>0</v>
      </c>
      <c r="OS7" s="5">
        <f t="shared" si="7"/>
        <v>0</v>
      </c>
      <c r="OT7" s="5">
        <f t="shared" si="7"/>
        <v>0</v>
      </c>
      <c r="OU7" s="5">
        <f t="shared" si="7"/>
        <v>0</v>
      </c>
      <c r="OV7" s="5">
        <f t="shared" si="7"/>
        <v>0</v>
      </c>
      <c r="OW7" s="5">
        <f t="shared" si="7"/>
        <v>0</v>
      </c>
      <c r="OX7" s="5">
        <f t="shared" si="7"/>
        <v>0</v>
      </c>
      <c r="OY7" s="5">
        <f t="shared" si="7"/>
        <v>0</v>
      </c>
      <c r="OZ7" s="5">
        <f t="shared" si="7"/>
        <v>0</v>
      </c>
      <c r="PA7" s="5">
        <f t="shared" si="7"/>
        <v>0</v>
      </c>
      <c r="PB7" s="5">
        <f t="shared" si="7"/>
        <v>0</v>
      </c>
      <c r="PC7" s="5">
        <f t="shared" si="7"/>
        <v>0</v>
      </c>
      <c r="PD7" s="5">
        <f t="shared" si="7"/>
        <v>0</v>
      </c>
      <c r="PE7" s="5">
        <f t="shared" si="7"/>
        <v>0</v>
      </c>
      <c r="PF7" s="5">
        <f t="shared" si="7"/>
        <v>0</v>
      </c>
      <c r="PG7" s="5">
        <f t="shared" si="7"/>
        <v>0</v>
      </c>
      <c r="PH7" s="5">
        <f t="shared" si="7"/>
        <v>0</v>
      </c>
      <c r="PI7" s="5">
        <f t="shared" si="7"/>
        <v>0</v>
      </c>
      <c r="PJ7" s="5">
        <f t="shared" si="7"/>
        <v>0</v>
      </c>
      <c r="PK7" s="5">
        <f t="shared" si="7"/>
        <v>0</v>
      </c>
      <c r="PL7" s="5">
        <f t="shared" si="7"/>
        <v>0</v>
      </c>
      <c r="PM7" s="5">
        <f t="shared" si="7"/>
        <v>0</v>
      </c>
      <c r="PN7" s="5">
        <f t="shared" si="7"/>
        <v>0</v>
      </c>
      <c r="PO7" s="5">
        <f t="shared" si="7"/>
        <v>0</v>
      </c>
      <c r="PP7" s="5">
        <f t="shared" si="7"/>
        <v>0</v>
      </c>
      <c r="PQ7" s="5">
        <f t="shared" si="7"/>
        <v>0</v>
      </c>
      <c r="PR7" s="5">
        <f t="shared" si="7"/>
        <v>0</v>
      </c>
      <c r="PS7" s="5">
        <f t="shared" si="7"/>
        <v>0</v>
      </c>
      <c r="PT7" s="5">
        <f t="shared" si="7"/>
        <v>0</v>
      </c>
      <c r="PU7" s="5">
        <f t="shared" si="7"/>
        <v>0</v>
      </c>
      <c r="PV7" s="5">
        <f t="shared" si="7"/>
        <v>0</v>
      </c>
      <c r="PW7" s="5">
        <f t="shared" si="7"/>
        <v>0</v>
      </c>
      <c r="PX7" s="5">
        <f t="shared" si="7"/>
        <v>0</v>
      </c>
      <c r="PY7" s="5">
        <f t="shared" si="7"/>
        <v>0</v>
      </c>
      <c r="PZ7" s="5">
        <f t="shared" si="7"/>
        <v>0</v>
      </c>
      <c r="QA7" s="5">
        <f t="shared" si="7"/>
        <v>0</v>
      </c>
      <c r="QB7" s="5">
        <f t="shared" si="7"/>
        <v>0</v>
      </c>
      <c r="QC7" s="5">
        <f t="shared" si="7"/>
        <v>0</v>
      </c>
      <c r="QD7" s="5">
        <f t="shared" si="7"/>
        <v>0</v>
      </c>
      <c r="QE7" s="5">
        <f t="shared" si="7"/>
        <v>0</v>
      </c>
      <c r="QF7" s="5">
        <f t="shared" si="7"/>
        <v>0</v>
      </c>
      <c r="QG7" s="5">
        <f t="shared" si="7"/>
        <v>0</v>
      </c>
      <c r="QH7" s="5">
        <f t="shared" si="7"/>
        <v>0</v>
      </c>
      <c r="QI7" s="5">
        <f t="shared" ref="QI7:SD7" si="8">SUM(QI8:QI33)</f>
        <v>0</v>
      </c>
      <c r="QJ7" s="5">
        <f t="shared" si="8"/>
        <v>0</v>
      </c>
      <c r="QK7" s="5">
        <f t="shared" si="8"/>
        <v>0</v>
      </c>
      <c r="QL7" s="5">
        <f t="shared" si="8"/>
        <v>0</v>
      </c>
      <c r="QM7" s="5">
        <f t="shared" si="8"/>
        <v>0</v>
      </c>
      <c r="QN7" s="5">
        <f t="shared" si="8"/>
        <v>0</v>
      </c>
      <c r="QO7" s="5">
        <f t="shared" si="8"/>
        <v>0</v>
      </c>
      <c r="QP7" s="5">
        <f t="shared" si="8"/>
        <v>0</v>
      </c>
      <c r="QQ7" s="5">
        <f t="shared" si="8"/>
        <v>0</v>
      </c>
      <c r="QR7" s="5">
        <f t="shared" si="8"/>
        <v>0</v>
      </c>
      <c r="QS7" s="5">
        <f t="shared" si="8"/>
        <v>0</v>
      </c>
      <c r="QT7" s="5">
        <f t="shared" si="8"/>
        <v>0</v>
      </c>
      <c r="QU7" s="5">
        <f t="shared" si="8"/>
        <v>0</v>
      </c>
      <c r="QV7" s="5">
        <f t="shared" si="8"/>
        <v>0</v>
      </c>
      <c r="QW7" s="5">
        <f t="shared" si="8"/>
        <v>0</v>
      </c>
      <c r="QX7" s="5">
        <f t="shared" si="8"/>
        <v>0</v>
      </c>
      <c r="QY7" s="5">
        <f t="shared" si="8"/>
        <v>0</v>
      </c>
      <c r="QZ7" s="5">
        <f t="shared" si="8"/>
        <v>0</v>
      </c>
      <c r="RA7" s="5">
        <f t="shared" si="8"/>
        <v>0</v>
      </c>
      <c r="RB7" s="5">
        <f t="shared" si="8"/>
        <v>0</v>
      </c>
      <c r="RC7" s="5">
        <f t="shared" si="8"/>
        <v>0</v>
      </c>
      <c r="RD7" s="5">
        <f t="shared" si="8"/>
        <v>0</v>
      </c>
      <c r="RE7" s="5">
        <f t="shared" si="8"/>
        <v>0</v>
      </c>
      <c r="RF7" s="5">
        <f t="shared" si="8"/>
        <v>0</v>
      </c>
      <c r="RG7" s="5">
        <f t="shared" si="8"/>
        <v>0</v>
      </c>
      <c r="RH7" s="5">
        <f t="shared" si="8"/>
        <v>0</v>
      </c>
      <c r="RI7" s="5">
        <f t="shared" si="8"/>
        <v>0</v>
      </c>
      <c r="RJ7" s="5">
        <f t="shared" si="8"/>
        <v>0</v>
      </c>
      <c r="RK7" s="5">
        <f t="shared" si="8"/>
        <v>0</v>
      </c>
      <c r="RL7" s="5">
        <f t="shared" si="8"/>
        <v>0</v>
      </c>
      <c r="RM7" s="5">
        <f t="shared" si="8"/>
        <v>0</v>
      </c>
      <c r="RN7" s="5">
        <f t="shared" si="8"/>
        <v>0</v>
      </c>
      <c r="RO7" s="5">
        <f t="shared" si="8"/>
        <v>0</v>
      </c>
      <c r="RP7" s="5">
        <f t="shared" si="8"/>
        <v>0</v>
      </c>
      <c r="RQ7" s="5">
        <f t="shared" si="8"/>
        <v>0</v>
      </c>
      <c r="RR7" s="5">
        <f t="shared" si="8"/>
        <v>0</v>
      </c>
      <c r="RS7" s="5">
        <f t="shared" si="8"/>
        <v>0</v>
      </c>
      <c r="RT7" s="5">
        <f t="shared" si="8"/>
        <v>0</v>
      </c>
      <c r="RU7" s="5">
        <f t="shared" si="8"/>
        <v>0</v>
      </c>
      <c r="RV7" s="5">
        <f t="shared" si="8"/>
        <v>0</v>
      </c>
      <c r="RW7" s="5">
        <f t="shared" si="8"/>
        <v>0</v>
      </c>
      <c r="RX7" s="5">
        <f t="shared" si="8"/>
        <v>0</v>
      </c>
      <c r="RY7" s="5">
        <f t="shared" si="8"/>
        <v>0</v>
      </c>
      <c r="RZ7" s="5">
        <f t="shared" si="8"/>
        <v>0</v>
      </c>
      <c r="SA7" s="5">
        <f t="shared" si="8"/>
        <v>0</v>
      </c>
      <c r="SB7" s="5">
        <f t="shared" si="8"/>
        <v>0</v>
      </c>
      <c r="SC7" s="5">
        <f t="shared" si="8"/>
        <v>0</v>
      </c>
      <c r="SD7" s="5">
        <f t="shared" si="8"/>
        <v>0</v>
      </c>
    </row>
    <row r="8" spans="1:498" s="6" customFormat="1" x14ac:dyDescent="0.25">
      <c r="A8" s="46" t="s">
        <v>11</v>
      </c>
      <c r="B8" s="35">
        <v>1</v>
      </c>
      <c r="C8" s="35"/>
      <c r="D8" s="35"/>
      <c r="E8" s="35"/>
      <c r="F8" s="35"/>
      <c r="G8" s="35"/>
      <c r="H8" s="35"/>
      <c r="I8" s="35"/>
      <c r="J8" s="35"/>
      <c r="K8" s="35"/>
      <c r="L8" s="35"/>
      <c r="M8" s="35"/>
      <c r="N8" s="35"/>
      <c r="O8" s="35"/>
      <c r="P8" s="35"/>
      <c r="Q8" s="35">
        <v>11</v>
      </c>
      <c r="R8" s="35"/>
      <c r="S8" s="35"/>
      <c r="T8" s="35"/>
      <c r="U8" s="35"/>
      <c r="V8" s="35"/>
      <c r="W8" s="35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35"/>
      <c r="BR8" s="35"/>
      <c r="BS8" s="35"/>
      <c r="BT8" s="35"/>
      <c r="BU8" s="35"/>
      <c r="BV8" s="35"/>
      <c r="BW8" s="35"/>
      <c r="BX8" s="35"/>
      <c r="BY8" s="35"/>
      <c r="BZ8" s="35"/>
    </row>
    <row r="9" spans="1:498" s="6" customFormat="1" x14ac:dyDescent="0.25">
      <c r="A9" s="46" t="s">
        <v>12</v>
      </c>
      <c r="B9" s="35"/>
      <c r="C9" s="35">
        <v>1</v>
      </c>
      <c r="D9" s="35"/>
      <c r="E9" s="35"/>
      <c r="F9" s="35"/>
      <c r="G9" s="35"/>
      <c r="H9" s="35"/>
      <c r="I9" s="35"/>
      <c r="J9" s="35"/>
      <c r="K9" s="35"/>
      <c r="L9" s="35"/>
      <c r="M9" s="35"/>
      <c r="N9" s="35"/>
      <c r="O9" s="35"/>
      <c r="P9" s="35"/>
      <c r="Q9" s="35"/>
      <c r="R9" s="35">
        <v>11</v>
      </c>
      <c r="S9" s="35"/>
      <c r="T9" s="35">
        <v>11</v>
      </c>
      <c r="U9" s="35"/>
      <c r="V9" s="35"/>
      <c r="W9" s="35"/>
      <c r="X9" s="35"/>
      <c r="Y9" s="35"/>
      <c r="Z9" s="35"/>
      <c r="AA9" s="35"/>
      <c r="AB9" s="35"/>
      <c r="AC9" s="35"/>
      <c r="AD9" s="35"/>
      <c r="AE9" s="35"/>
      <c r="AF9" s="35"/>
      <c r="AG9" s="35"/>
      <c r="AH9" s="35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  <c r="BK9" s="35"/>
      <c r="BL9" s="35"/>
      <c r="BM9" s="35"/>
      <c r="BN9" s="35"/>
      <c r="BO9" s="35"/>
      <c r="BP9" s="35"/>
      <c r="BQ9" s="35"/>
      <c r="BR9" s="35"/>
      <c r="BS9" s="35"/>
      <c r="BT9" s="35"/>
      <c r="BU9" s="35"/>
      <c r="BV9" s="35"/>
      <c r="BW9" s="35"/>
      <c r="BX9" s="35"/>
      <c r="BY9" s="35"/>
      <c r="BZ9" s="35"/>
    </row>
    <row r="10" spans="1:498" s="6" customFormat="1" x14ac:dyDescent="0.25">
      <c r="A10" s="46" t="s">
        <v>13</v>
      </c>
      <c r="B10" s="35"/>
      <c r="C10" s="35"/>
      <c r="D10" s="35">
        <v>1</v>
      </c>
      <c r="E10" s="35"/>
      <c r="F10" s="35"/>
      <c r="G10" s="35"/>
      <c r="H10" s="35"/>
      <c r="I10" s="35"/>
      <c r="J10" s="35"/>
      <c r="K10" s="35"/>
      <c r="L10" s="35"/>
      <c r="M10" s="35"/>
      <c r="N10" s="35"/>
      <c r="O10" s="35"/>
      <c r="P10" s="35"/>
      <c r="Q10" s="35"/>
      <c r="R10" s="35"/>
      <c r="S10" s="35"/>
      <c r="T10" s="35"/>
      <c r="U10" s="35"/>
      <c r="V10" s="35"/>
      <c r="W10" s="35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35"/>
      <c r="AQ10" s="35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  <c r="BG10" s="35"/>
      <c r="BH10" s="35"/>
      <c r="BI10" s="35"/>
      <c r="BJ10" s="35"/>
      <c r="BK10" s="35"/>
      <c r="BL10" s="35"/>
      <c r="BM10" s="35"/>
      <c r="BN10" s="35"/>
      <c r="BO10" s="35"/>
      <c r="BP10" s="35"/>
      <c r="BQ10" s="35"/>
      <c r="BR10" s="35"/>
      <c r="BS10" s="35"/>
      <c r="BT10" s="35"/>
      <c r="BU10" s="35"/>
      <c r="BV10" s="35"/>
      <c r="BW10" s="35"/>
      <c r="BX10" s="35"/>
      <c r="BY10" s="35"/>
      <c r="BZ10" s="35"/>
    </row>
    <row r="11" spans="1:498" s="6" customFormat="1" x14ac:dyDescent="0.25">
      <c r="A11" s="46" t="s">
        <v>14</v>
      </c>
      <c r="B11" s="35"/>
      <c r="C11" s="35"/>
      <c r="D11" s="35"/>
      <c r="E11" s="35">
        <v>1</v>
      </c>
      <c r="F11" s="35"/>
      <c r="G11" s="35"/>
      <c r="H11" s="35"/>
      <c r="I11" s="35"/>
      <c r="J11" s="35"/>
      <c r="K11" s="35"/>
      <c r="L11" s="35"/>
      <c r="M11" s="35"/>
      <c r="N11" s="35"/>
      <c r="O11" s="35"/>
      <c r="P11" s="35"/>
      <c r="Q11" s="35"/>
      <c r="R11" s="35"/>
      <c r="S11" s="35"/>
      <c r="T11" s="35"/>
      <c r="U11" s="35"/>
      <c r="V11" s="35"/>
      <c r="W11" s="35"/>
      <c r="X11" s="35"/>
      <c r="Y11" s="35"/>
      <c r="Z11" s="35"/>
      <c r="AA11" s="35"/>
      <c r="AB11" s="35"/>
      <c r="AC11" s="35"/>
      <c r="AD11" s="35"/>
      <c r="AE11" s="35"/>
      <c r="AF11" s="35"/>
      <c r="AG11" s="35"/>
      <c r="AH11" s="35"/>
      <c r="AI11" s="35"/>
      <c r="AJ11" s="35"/>
      <c r="AK11" s="35"/>
      <c r="AL11" s="35"/>
      <c r="AM11" s="35"/>
      <c r="AN11" s="35"/>
      <c r="AO11" s="35"/>
      <c r="AP11" s="35"/>
      <c r="AQ11" s="35"/>
      <c r="AR11" s="35"/>
      <c r="AS11" s="35"/>
      <c r="AT11" s="35"/>
      <c r="AU11" s="35"/>
      <c r="AV11" s="35"/>
      <c r="AW11" s="35"/>
      <c r="AX11" s="35"/>
      <c r="AY11" s="35"/>
      <c r="AZ11" s="35"/>
      <c r="BA11" s="35"/>
      <c r="BB11" s="35"/>
      <c r="BC11" s="35"/>
      <c r="BD11" s="35"/>
      <c r="BE11" s="35"/>
      <c r="BF11" s="35"/>
      <c r="BG11" s="35"/>
      <c r="BH11" s="35"/>
      <c r="BI11" s="35"/>
      <c r="BJ11" s="35"/>
      <c r="BK11" s="35"/>
      <c r="BL11" s="35"/>
      <c r="BM11" s="35"/>
      <c r="BN11" s="35"/>
      <c r="BO11" s="35"/>
      <c r="BP11" s="35"/>
      <c r="BQ11" s="35"/>
      <c r="BR11" s="35"/>
      <c r="BS11" s="35"/>
      <c r="BT11" s="35"/>
      <c r="BU11" s="35"/>
      <c r="BV11" s="35"/>
      <c r="BW11" s="35"/>
      <c r="BX11" s="35"/>
      <c r="BY11" s="35"/>
      <c r="BZ11" s="35"/>
    </row>
    <row r="12" spans="1:498" s="7" customFormat="1" x14ac:dyDescent="0.25">
      <c r="A12" s="47" t="s">
        <v>15</v>
      </c>
      <c r="B12" s="36"/>
      <c r="C12" s="36"/>
      <c r="D12" s="36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6"/>
      <c r="Q12" s="36"/>
      <c r="R12" s="36"/>
      <c r="S12" s="36"/>
      <c r="T12" s="36"/>
      <c r="U12" s="36">
        <v>11</v>
      </c>
      <c r="V12" s="36"/>
      <c r="W12" s="36"/>
      <c r="X12" s="36"/>
      <c r="Y12" s="36"/>
      <c r="Z12" s="36"/>
      <c r="AA12" s="36"/>
      <c r="AB12" s="36"/>
      <c r="AC12" s="36"/>
      <c r="AD12" s="36"/>
      <c r="AE12" s="36"/>
      <c r="AF12" s="36"/>
      <c r="AG12" s="36"/>
      <c r="AH12" s="36"/>
      <c r="AI12" s="36"/>
      <c r="AJ12" s="36"/>
      <c r="AK12" s="36"/>
      <c r="AL12" s="36"/>
      <c r="AM12" s="36"/>
      <c r="AN12" s="36"/>
      <c r="AO12" s="36"/>
      <c r="AP12" s="36"/>
      <c r="AQ12" s="36"/>
      <c r="AR12" s="36"/>
      <c r="AS12" s="36"/>
      <c r="AT12" s="36"/>
      <c r="AU12" s="36"/>
      <c r="AV12" s="36"/>
      <c r="AW12" s="36"/>
      <c r="AX12" s="36"/>
      <c r="AY12" s="36"/>
      <c r="AZ12" s="36"/>
      <c r="BA12" s="36"/>
      <c r="BB12" s="36"/>
      <c r="BC12" s="36"/>
      <c r="BD12" s="36"/>
      <c r="BE12" s="36"/>
      <c r="BF12" s="36"/>
      <c r="BG12" s="36"/>
      <c r="BH12" s="36"/>
      <c r="BI12" s="36"/>
      <c r="BJ12" s="36"/>
      <c r="BK12" s="36"/>
      <c r="BL12" s="36"/>
      <c r="BM12" s="36"/>
      <c r="BN12" s="36"/>
      <c r="BO12" s="36"/>
      <c r="BP12" s="36"/>
      <c r="BQ12" s="36"/>
      <c r="BR12" s="36"/>
      <c r="BS12" s="36"/>
      <c r="BT12" s="36"/>
      <c r="BU12" s="36"/>
      <c r="BV12" s="36"/>
      <c r="BW12" s="36"/>
      <c r="BX12" s="36"/>
      <c r="BY12" s="36"/>
      <c r="BZ12" s="36"/>
    </row>
    <row r="13" spans="1:498" s="7" customFormat="1" x14ac:dyDescent="0.25">
      <c r="A13" s="47" t="s">
        <v>16</v>
      </c>
      <c r="B13" s="36"/>
      <c r="C13" s="37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6"/>
      <c r="Q13" s="36"/>
      <c r="R13" s="36"/>
      <c r="S13" s="36"/>
      <c r="T13" s="36"/>
      <c r="U13" s="36"/>
      <c r="V13" s="36"/>
      <c r="W13" s="36"/>
      <c r="X13" s="36"/>
      <c r="Y13" s="36"/>
      <c r="Z13" s="36"/>
      <c r="AA13" s="36"/>
      <c r="AB13" s="36"/>
      <c r="AC13" s="36"/>
      <c r="AD13" s="36"/>
      <c r="AE13" s="36"/>
      <c r="AF13" s="36"/>
      <c r="AG13" s="36"/>
      <c r="AH13" s="36"/>
      <c r="AI13" s="36"/>
      <c r="AJ13" s="36"/>
      <c r="AK13" s="36"/>
      <c r="AL13" s="36"/>
      <c r="AM13" s="36"/>
      <c r="AN13" s="36"/>
      <c r="AO13" s="36"/>
      <c r="AP13" s="36"/>
      <c r="AQ13" s="36"/>
      <c r="AR13" s="36"/>
      <c r="AS13" s="36"/>
      <c r="AT13" s="36"/>
      <c r="AU13" s="36"/>
      <c r="AV13" s="36"/>
      <c r="AW13" s="36"/>
      <c r="AX13" s="36"/>
      <c r="AY13" s="36"/>
      <c r="AZ13" s="36"/>
      <c r="BA13" s="36"/>
      <c r="BB13" s="36"/>
      <c r="BC13" s="36"/>
      <c r="BD13" s="36"/>
      <c r="BE13" s="36"/>
      <c r="BF13" s="36"/>
      <c r="BG13" s="36"/>
      <c r="BH13" s="36"/>
      <c r="BI13" s="36"/>
      <c r="BJ13" s="36"/>
      <c r="BK13" s="36"/>
      <c r="BL13" s="36"/>
      <c r="BM13" s="36"/>
      <c r="BN13" s="36"/>
      <c r="BO13" s="36"/>
      <c r="BP13" s="36"/>
      <c r="BQ13" s="36"/>
      <c r="BR13" s="36"/>
      <c r="BS13" s="36"/>
      <c r="BT13" s="36"/>
      <c r="BU13" s="36"/>
      <c r="BV13" s="36"/>
      <c r="BW13" s="36"/>
      <c r="BX13" s="36"/>
      <c r="BY13" s="36"/>
      <c r="BZ13" s="36"/>
    </row>
    <row r="14" spans="1:498" s="7" customFormat="1" x14ac:dyDescent="0.25">
      <c r="A14" s="47" t="s">
        <v>17</v>
      </c>
      <c r="B14" s="36"/>
      <c r="C14" s="36"/>
      <c r="D14" s="36"/>
      <c r="E14" s="36"/>
      <c r="F14" s="36"/>
      <c r="G14" s="36"/>
      <c r="H14" s="36"/>
      <c r="I14" s="36"/>
      <c r="J14" s="36"/>
      <c r="K14" s="36"/>
      <c r="L14" s="36"/>
      <c r="M14" s="36"/>
      <c r="N14" s="36"/>
      <c r="O14" s="36"/>
      <c r="P14" s="36"/>
      <c r="Q14" s="36"/>
      <c r="R14" s="36"/>
      <c r="S14" s="36"/>
      <c r="T14" s="36"/>
      <c r="U14" s="36"/>
      <c r="V14" s="36"/>
      <c r="W14" s="36"/>
      <c r="X14" s="36"/>
      <c r="Y14" s="36"/>
      <c r="Z14" s="36"/>
      <c r="AA14" s="36"/>
      <c r="AB14" s="36"/>
      <c r="AC14" s="36"/>
      <c r="AD14" s="36"/>
      <c r="AE14" s="36"/>
      <c r="AF14" s="36"/>
      <c r="AG14" s="36"/>
      <c r="AH14" s="36"/>
      <c r="AI14" s="36"/>
      <c r="AJ14" s="36"/>
      <c r="AK14" s="36"/>
      <c r="AL14" s="36"/>
      <c r="AM14" s="36"/>
      <c r="AN14" s="36"/>
      <c r="AO14" s="36"/>
      <c r="AP14" s="36"/>
      <c r="AQ14" s="36"/>
      <c r="AR14" s="36"/>
      <c r="AS14" s="36"/>
      <c r="AT14" s="36"/>
      <c r="AU14" s="36"/>
      <c r="AV14" s="36"/>
      <c r="AW14" s="36"/>
      <c r="AX14" s="36"/>
      <c r="AY14" s="36"/>
      <c r="AZ14" s="36"/>
      <c r="BA14" s="36"/>
      <c r="BB14" s="36"/>
      <c r="BC14" s="36"/>
      <c r="BD14" s="36"/>
      <c r="BE14" s="36"/>
      <c r="BF14" s="36"/>
      <c r="BG14" s="36"/>
      <c r="BH14" s="36"/>
      <c r="BI14" s="36"/>
      <c r="BJ14" s="36"/>
      <c r="BK14" s="36"/>
      <c r="BL14" s="36"/>
      <c r="BM14" s="36"/>
      <c r="BN14" s="36"/>
      <c r="BO14" s="36"/>
      <c r="BP14" s="36"/>
      <c r="BQ14" s="36"/>
      <c r="BR14" s="36"/>
      <c r="BS14" s="36"/>
      <c r="BT14" s="36"/>
      <c r="BU14" s="36"/>
      <c r="BV14" s="36"/>
      <c r="BW14" s="36"/>
      <c r="BX14" s="36"/>
      <c r="BY14" s="36"/>
      <c r="BZ14" s="36"/>
    </row>
    <row r="15" spans="1:498" s="7" customFormat="1" x14ac:dyDescent="0.25">
      <c r="A15" s="47" t="s">
        <v>18</v>
      </c>
      <c r="B15" s="36"/>
      <c r="C15" s="36"/>
      <c r="D15" s="36"/>
      <c r="E15" s="36"/>
      <c r="F15" s="36"/>
      <c r="G15" s="36"/>
      <c r="H15" s="36"/>
      <c r="I15" s="36"/>
      <c r="J15" s="36"/>
      <c r="K15" s="36"/>
      <c r="L15" s="36"/>
      <c r="M15" s="36"/>
      <c r="N15" s="36"/>
      <c r="O15" s="36"/>
      <c r="P15" s="36"/>
      <c r="Q15" s="36"/>
      <c r="R15" s="36"/>
      <c r="S15" s="36"/>
      <c r="T15" s="36"/>
      <c r="U15" s="36"/>
      <c r="V15" s="36"/>
      <c r="W15" s="36"/>
      <c r="X15" s="36"/>
      <c r="Y15" s="36"/>
      <c r="Z15" s="36"/>
      <c r="AA15" s="36"/>
      <c r="AB15" s="36"/>
      <c r="AC15" s="36"/>
      <c r="AD15" s="36"/>
      <c r="AE15" s="36"/>
      <c r="AF15" s="36"/>
      <c r="AG15" s="36"/>
      <c r="AH15" s="36"/>
      <c r="AI15" s="36"/>
      <c r="AJ15" s="36"/>
      <c r="AK15" s="36"/>
      <c r="AL15" s="36"/>
      <c r="AM15" s="36"/>
      <c r="AN15" s="36"/>
      <c r="AO15" s="36"/>
      <c r="AP15" s="36"/>
      <c r="AQ15" s="36"/>
      <c r="AR15" s="36"/>
      <c r="AS15" s="36"/>
      <c r="AT15" s="36"/>
      <c r="AU15" s="36"/>
      <c r="AV15" s="36"/>
      <c r="AW15" s="36"/>
      <c r="AX15" s="36"/>
      <c r="AY15" s="36"/>
      <c r="AZ15" s="36"/>
      <c r="BA15" s="36"/>
      <c r="BB15" s="36"/>
      <c r="BC15" s="36"/>
      <c r="BD15" s="36"/>
      <c r="BE15" s="36"/>
      <c r="BF15" s="36"/>
      <c r="BG15" s="36"/>
      <c r="BH15" s="36"/>
      <c r="BI15" s="36"/>
      <c r="BJ15" s="36"/>
      <c r="BK15" s="36"/>
      <c r="BL15" s="36"/>
      <c r="BM15" s="36"/>
      <c r="BN15" s="36"/>
      <c r="BO15" s="36"/>
      <c r="BP15" s="36"/>
      <c r="BQ15" s="36"/>
      <c r="BR15" s="36"/>
      <c r="BS15" s="36"/>
      <c r="BT15" s="36"/>
      <c r="BU15" s="36"/>
      <c r="BV15" s="36"/>
      <c r="BW15" s="36"/>
      <c r="BX15" s="36"/>
      <c r="BY15" s="36"/>
      <c r="BZ15" s="36"/>
    </row>
    <row r="16" spans="1:498" s="7" customFormat="1" x14ac:dyDescent="0.25">
      <c r="A16" s="47" t="s">
        <v>19</v>
      </c>
      <c r="B16" s="36"/>
      <c r="C16" s="36"/>
      <c r="D16" s="36"/>
      <c r="E16" s="36"/>
      <c r="F16" s="36"/>
      <c r="G16" s="36"/>
      <c r="H16" s="36"/>
      <c r="I16" s="36"/>
      <c r="J16" s="36"/>
      <c r="K16" s="36"/>
      <c r="L16" s="36"/>
      <c r="M16" s="36"/>
      <c r="N16" s="36"/>
      <c r="O16" s="36"/>
      <c r="P16" s="36"/>
      <c r="Q16" s="36"/>
      <c r="R16" s="36"/>
      <c r="S16" s="36"/>
      <c r="T16" s="36"/>
      <c r="U16" s="36"/>
      <c r="V16" s="36"/>
      <c r="W16" s="36"/>
      <c r="X16" s="36"/>
      <c r="Y16" s="36"/>
      <c r="Z16" s="36"/>
      <c r="AA16" s="36"/>
      <c r="AB16" s="36"/>
      <c r="AC16" s="36"/>
      <c r="AD16" s="36"/>
      <c r="AE16" s="36"/>
      <c r="AF16" s="36"/>
      <c r="AG16" s="36"/>
      <c r="AH16" s="36"/>
      <c r="AI16" s="36"/>
      <c r="AJ16" s="36"/>
      <c r="AK16" s="36"/>
      <c r="AL16" s="36"/>
      <c r="AM16" s="36"/>
      <c r="AN16" s="36"/>
      <c r="AO16" s="36"/>
      <c r="AP16" s="36"/>
      <c r="AQ16" s="36"/>
      <c r="AR16" s="36"/>
      <c r="AS16" s="36"/>
      <c r="AT16" s="36"/>
      <c r="AU16" s="36"/>
      <c r="AV16" s="36"/>
      <c r="AW16" s="36"/>
      <c r="AX16" s="36"/>
      <c r="AY16" s="36"/>
      <c r="AZ16" s="36"/>
      <c r="BA16" s="36"/>
      <c r="BB16" s="36"/>
      <c r="BC16" s="36"/>
      <c r="BD16" s="36"/>
      <c r="BE16" s="36"/>
      <c r="BF16" s="36"/>
      <c r="BG16" s="36"/>
      <c r="BH16" s="36"/>
      <c r="BI16" s="36"/>
      <c r="BJ16" s="36"/>
      <c r="BK16" s="36"/>
      <c r="BL16" s="36"/>
      <c r="BM16" s="36"/>
      <c r="BN16" s="36"/>
      <c r="BO16" s="36"/>
      <c r="BP16" s="36"/>
      <c r="BQ16" s="36"/>
      <c r="BR16" s="36"/>
      <c r="BS16" s="36"/>
      <c r="BT16" s="36"/>
      <c r="BU16" s="36"/>
      <c r="BV16" s="36"/>
      <c r="BW16" s="36"/>
      <c r="BX16" s="36"/>
      <c r="BY16" s="36"/>
      <c r="BZ16" s="36"/>
    </row>
    <row r="17" spans="1:78" s="7" customFormat="1" x14ac:dyDescent="0.25">
      <c r="A17" s="47" t="s">
        <v>20</v>
      </c>
      <c r="B17" s="36"/>
      <c r="C17" s="36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6"/>
      <c r="R17" s="36"/>
      <c r="S17" s="36"/>
      <c r="T17" s="36"/>
      <c r="U17" s="36"/>
      <c r="V17" s="36"/>
      <c r="W17" s="36"/>
      <c r="X17" s="36"/>
      <c r="Y17" s="36"/>
      <c r="Z17" s="36"/>
      <c r="AA17" s="36"/>
      <c r="AB17" s="36"/>
      <c r="AC17" s="36"/>
      <c r="AD17" s="36"/>
      <c r="AE17" s="36"/>
      <c r="AF17" s="36"/>
      <c r="AG17" s="36"/>
      <c r="AH17" s="36"/>
      <c r="AI17" s="36"/>
      <c r="AJ17" s="36"/>
      <c r="AK17" s="36"/>
      <c r="AL17" s="36"/>
      <c r="AM17" s="36"/>
      <c r="AN17" s="36"/>
      <c r="AO17" s="36"/>
      <c r="AP17" s="36"/>
      <c r="AQ17" s="36"/>
      <c r="AR17" s="36"/>
      <c r="AS17" s="36"/>
      <c r="AT17" s="36"/>
      <c r="AU17" s="36"/>
      <c r="AV17" s="36"/>
      <c r="AW17" s="36"/>
      <c r="AX17" s="36"/>
      <c r="AY17" s="36"/>
      <c r="AZ17" s="36"/>
      <c r="BA17" s="36"/>
      <c r="BB17" s="36"/>
      <c r="BC17" s="36"/>
      <c r="BD17" s="36"/>
      <c r="BE17" s="36"/>
      <c r="BF17" s="36"/>
      <c r="BG17" s="36"/>
      <c r="BH17" s="36"/>
      <c r="BI17" s="36"/>
      <c r="BJ17" s="36"/>
      <c r="BK17" s="36"/>
      <c r="BL17" s="36"/>
      <c r="BM17" s="36"/>
      <c r="BN17" s="36"/>
      <c r="BO17" s="36"/>
      <c r="BP17" s="36"/>
      <c r="BQ17" s="36"/>
      <c r="BR17" s="36"/>
      <c r="BS17" s="36"/>
      <c r="BT17" s="36"/>
      <c r="BU17" s="36"/>
      <c r="BV17" s="36"/>
      <c r="BW17" s="36"/>
      <c r="BX17" s="36"/>
      <c r="BY17" s="36"/>
      <c r="BZ17" s="36"/>
    </row>
    <row r="18" spans="1:78" s="5" customFormat="1" x14ac:dyDescent="0.25">
      <c r="A18" s="44" t="s">
        <v>21</v>
      </c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  <c r="M18" s="38"/>
      <c r="N18" s="38"/>
      <c r="O18" s="38"/>
      <c r="P18" s="38"/>
      <c r="Q18" s="38"/>
      <c r="R18" s="38"/>
      <c r="S18" s="38"/>
      <c r="T18" s="38"/>
      <c r="U18" s="38"/>
      <c r="V18" s="38"/>
      <c r="W18" s="38"/>
      <c r="X18" s="38"/>
      <c r="Y18" s="38"/>
      <c r="Z18" s="38"/>
      <c r="AA18" s="38"/>
      <c r="AB18" s="38"/>
      <c r="AC18" s="38"/>
      <c r="AD18" s="38"/>
      <c r="AE18" s="38"/>
      <c r="AF18" s="38"/>
      <c r="AG18" s="38"/>
      <c r="AH18" s="38"/>
      <c r="AI18" s="38"/>
      <c r="AJ18" s="38"/>
      <c r="AK18" s="38"/>
      <c r="AL18" s="38"/>
      <c r="AM18" s="38"/>
      <c r="AN18" s="38"/>
      <c r="AO18" s="38"/>
      <c r="AP18" s="38"/>
      <c r="AQ18" s="38"/>
      <c r="AR18" s="38"/>
      <c r="AS18" s="38"/>
      <c r="AT18" s="38"/>
      <c r="AU18" s="38"/>
      <c r="AV18" s="38"/>
      <c r="AW18" s="38"/>
      <c r="AX18" s="38"/>
      <c r="AY18" s="38"/>
      <c r="AZ18" s="38"/>
      <c r="BA18" s="38"/>
      <c r="BB18" s="38"/>
      <c r="BC18" s="38"/>
      <c r="BD18" s="38"/>
      <c r="BE18" s="38"/>
      <c r="BF18" s="38"/>
      <c r="BG18" s="38"/>
      <c r="BH18" s="38"/>
      <c r="BI18" s="38"/>
      <c r="BJ18" s="38"/>
      <c r="BK18" s="38"/>
      <c r="BL18" s="38"/>
      <c r="BM18" s="38"/>
      <c r="BN18" s="38"/>
      <c r="BO18" s="38"/>
      <c r="BP18" s="38"/>
      <c r="BQ18" s="38"/>
      <c r="BR18" s="38"/>
      <c r="BS18" s="38"/>
      <c r="BT18" s="38"/>
      <c r="BU18" s="38"/>
      <c r="BV18" s="38"/>
      <c r="BW18" s="38"/>
      <c r="BX18" s="38"/>
      <c r="BY18" s="38"/>
      <c r="BZ18" s="38"/>
    </row>
    <row r="19" spans="1:78" s="5" customFormat="1" x14ac:dyDescent="0.25">
      <c r="A19" s="44" t="s">
        <v>22</v>
      </c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  <c r="M19" s="38"/>
      <c r="N19" s="38"/>
      <c r="O19" s="38"/>
      <c r="P19" s="38"/>
      <c r="Q19" s="38"/>
      <c r="R19" s="38"/>
      <c r="S19" s="38"/>
      <c r="T19" s="38"/>
      <c r="U19" s="38"/>
      <c r="V19" s="38"/>
      <c r="W19" s="38"/>
      <c r="X19" s="38"/>
      <c r="Y19" s="38"/>
      <c r="Z19" s="38"/>
      <c r="AA19" s="38"/>
      <c r="AB19" s="38"/>
      <c r="AC19" s="38"/>
      <c r="AD19" s="38"/>
      <c r="AE19" s="38"/>
      <c r="AF19" s="38"/>
      <c r="AG19" s="38"/>
      <c r="AH19" s="38"/>
      <c r="AI19" s="38"/>
      <c r="AJ19" s="38"/>
      <c r="AK19" s="38"/>
      <c r="AL19" s="38"/>
      <c r="AM19" s="38"/>
      <c r="AN19" s="38"/>
      <c r="AO19" s="38"/>
      <c r="AP19" s="38"/>
      <c r="AQ19" s="38"/>
      <c r="AR19" s="38"/>
      <c r="AS19" s="38"/>
      <c r="AT19" s="38"/>
      <c r="AU19" s="38"/>
      <c r="AV19" s="38"/>
      <c r="AW19" s="38"/>
      <c r="AX19" s="38"/>
      <c r="AY19" s="38"/>
      <c r="AZ19" s="38"/>
      <c r="BA19" s="38"/>
      <c r="BB19" s="38"/>
      <c r="BC19" s="38"/>
      <c r="BD19" s="38"/>
      <c r="BE19" s="38"/>
      <c r="BF19" s="38"/>
      <c r="BG19" s="38"/>
      <c r="BH19" s="38"/>
      <c r="BI19" s="38"/>
      <c r="BJ19" s="38"/>
      <c r="BK19" s="38"/>
      <c r="BL19" s="38"/>
      <c r="BM19" s="38"/>
      <c r="BN19" s="38"/>
      <c r="BO19" s="38"/>
      <c r="BP19" s="38"/>
      <c r="BQ19" s="38"/>
      <c r="BR19" s="38"/>
      <c r="BS19" s="38"/>
      <c r="BT19" s="38"/>
      <c r="BU19" s="38"/>
      <c r="BV19" s="38"/>
      <c r="BW19" s="38"/>
      <c r="BX19" s="38"/>
      <c r="BY19" s="38"/>
      <c r="BZ19" s="38"/>
    </row>
    <row r="20" spans="1:78" s="5" customFormat="1" x14ac:dyDescent="0.25">
      <c r="A20" s="44" t="s">
        <v>23</v>
      </c>
      <c r="B20" s="38"/>
      <c r="C20" s="38"/>
      <c r="D20" s="38"/>
      <c r="E20" s="38"/>
      <c r="F20" s="38"/>
      <c r="G20" s="38"/>
      <c r="H20" s="38"/>
      <c r="I20" s="38"/>
      <c r="J20" s="38"/>
      <c r="K20" s="38"/>
      <c r="L20" s="38"/>
      <c r="M20" s="38"/>
      <c r="N20" s="38"/>
      <c r="O20" s="38"/>
      <c r="P20" s="38"/>
      <c r="Q20" s="38"/>
      <c r="R20" s="38"/>
      <c r="S20" s="38"/>
      <c r="T20" s="38"/>
      <c r="U20" s="38"/>
      <c r="V20" s="38"/>
      <c r="W20" s="38"/>
      <c r="X20" s="38"/>
      <c r="Y20" s="38"/>
      <c r="Z20" s="38"/>
      <c r="AA20" s="38"/>
      <c r="AB20" s="38"/>
      <c r="AC20" s="38"/>
      <c r="AD20" s="38"/>
      <c r="AE20" s="38"/>
      <c r="AF20" s="38"/>
      <c r="AG20" s="38"/>
      <c r="AH20" s="38"/>
      <c r="AI20" s="38"/>
      <c r="AJ20" s="38"/>
      <c r="AK20" s="38"/>
      <c r="AL20" s="38"/>
      <c r="AM20" s="38"/>
      <c r="AN20" s="38"/>
      <c r="AO20" s="38"/>
      <c r="AP20" s="38"/>
      <c r="AQ20" s="38"/>
      <c r="AR20" s="38"/>
      <c r="AS20" s="38"/>
      <c r="AT20" s="38"/>
      <c r="AU20" s="38"/>
      <c r="AV20" s="38"/>
      <c r="AW20" s="38"/>
      <c r="AX20" s="38"/>
      <c r="AY20" s="38"/>
      <c r="AZ20" s="38"/>
      <c r="BA20" s="38"/>
      <c r="BB20" s="38"/>
      <c r="BC20" s="38"/>
      <c r="BD20" s="38"/>
      <c r="BE20" s="38"/>
      <c r="BF20" s="38"/>
      <c r="BG20" s="38"/>
      <c r="BH20" s="38"/>
      <c r="BI20" s="38"/>
      <c r="BJ20" s="38"/>
      <c r="BK20" s="38"/>
      <c r="BL20" s="38"/>
      <c r="BM20" s="38"/>
      <c r="BN20" s="38"/>
      <c r="BO20" s="38"/>
      <c r="BP20" s="38"/>
      <c r="BQ20" s="38"/>
      <c r="BR20" s="38"/>
      <c r="BS20" s="38"/>
      <c r="BT20" s="38"/>
      <c r="BU20" s="38"/>
      <c r="BV20" s="38"/>
      <c r="BW20" s="38"/>
      <c r="BX20" s="38"/>
      <c r="BY20" s="38"/>
      <c r="BZ20" s="38"/>
    </row>
    <row r="21" spans="1:78" s="5" customFormat="1" x14ac:dyDescent="0.25">
      <c r="A21" s="44" t="s">
        <v>24</v>
      </c>
      <c r="B21" s="38"/>
      <c r="C21" s="38"/>
      <c r="D21" s="38"/>
      <c r="E21" s="38"/>
      <c r="F21" s="38"/>
      <c r="G21" s="38"/>
      <c r="H21" s="38"/>
      <c r="I21" s="38"/>
      <c r="J21" s="38"/>
      <c r="K21" s="38"/>
      <c r="L21" s="38"/>
      <c r="M21" s="38"/>
      <c r="N21" s="38"/>
      <c r="O21" s="38"/>
      <c r="P21" s="38"/>
      <c r="Q21" s="38"/>
      <c r="R21" s="38"/>
      <c r="S21" s="38"/>
      <c r="T21" s="38"/>
      <c r="U21" s="38"/>
      <c r="V21" s="38"/>
      <c r="W21" s="38"/>
      <c r="X21" s="38"/>
      <c r="Y21" s="38"/>
      <c r="Z21" s="38"/>
      <c r="AA21" s="38"/>
      <c r="AB21" s="38"/>
      <c r="AC21" s="38"/>
      <c r="AD21" s="38"/>
      <c r="AE21" s="38"/>
      <c r="AF21" s="38"/>
      <c r="AG21" s="38"/>
      <c r="AH21" s="38"/>
      <c r="AI21" s="38"/>
      <c r="AJ21" s="38"/>
      <c r="AK21" s="38"/>
      <c r="AL21" s="38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38"/>
      <c r="AX21" s="38"/>
      <c r="AY21" s="38"/>
      <c r="AZ21" s="38"/>
      <c r="BA21" s="38"/>
      <c r="BB21" s="38"/>
      <c r="BC21" s="38"/>
      <c r="BD21" s="38"/>
      <c r="BE21" s="38"/>
      <c r="BF21" s="38"/>
      <c r="BG21" s="38"/>
      <c r="BH21" s="38"/>
      <c r="BI21" s="38"/>
      <c r="BJ21" s="38"/>
      <c r="BK21" s="38"/>
      <c r="BL21" s="38"/>
      <c r="BM21" s="38"/>
      <c r="BN21" s="38"/>
      <c r="BO21" s="38"/>
      <c r="BP21" s="38"/>
      <c r="BQ21" s="38"/>
      <c r="BR21" s="38"/>
      <c r="BS21" s="38"/>
      <c r="BT21" s="38"/>
      <c r="BU21" s="38"/>
      <c r="BV21" s="38"/>
      <c r="BW21" s="38"/>
      <c r="BX21" s="38"/>
      <c r="BY21" s="38"/>
      <c r="BZ21" s="38"/>
    </row>
    <row r="22" spans="1:78" s="5" customFormat="1" x14ac:dyDescent="0.25">
      <c r="A22" s="44" t="s">
        <v>25</v>
      </c>
      <c r="B22" s="38"/>
      <c r="C22" s="38"/>
      <c r="D22" s="38"/>
      <c r="E22" s="38"/>
      <c r="F22" s="38"/>
      <c r="G22" s="38"/>
      <c r="H22" s="38"/>
      <c r="I22" s="38"/>
      <c r="J22" s="38"/>
      <c r="K22" s="38"/>
      <c r="L22" s="38"/>
      <c r="M22" s="38"/>
      <c r="N22" s="38"/>
      <c r="O22" s="38"/>
      <c r="P22" s="38"/>
      <c r="Q22" s="38"/>
      <c r="R22" s="38"/>
      <c r="S22" s="38"/>
      <c r="T22" s="38"/>
      <c r="U22" s="38"/>
      <c r="V22" s="38"/>
      <c r="W22" s="38"/>
      <c r="X22" s="38"/>
      <c r="Y22" s="38"/>
      <c r="Z22" s="38"/>
      <c r="AA22" s="38"/>
      <c r="AB22" s="38"/>
      <c r="AC22" s="38"/>
      <c r="AD22" s="38"/>
      <c r="AE22" s="38"/>
      <c r="AF22" s="38"/>
      <c r="AG22" s="38"/>
      <c r="AH22" s="38"/>
      <c r="AI22" s="38"/>
      <c r="AJ22" s="38"/>
      <c r="AK22" s="38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8"/>
      <c r="AZ22" s="38"/>
      <c r="BA22" s="38"/>
      <c r="BB22" s="38"/>
      <c r="BC22" s="38"/>
      <c r="BD22" s="38"/>
      <c r="BE22" s="38"/>
      <c r="BF22" s="38"/>
      <c r="BG22" s="38"/>
      <c r="BH22" s="38"/>
      <c r="BI22" s="38"/>
      <c r="BJ22" s="38"/>
      <c r="BK22" s="38"/>
      <c r="BL22" s="38"/>
      <c r="BM22" s="38"/>
      <c r="BN22" s="38"/>
      <c r="BO22" s="38"/>
      <c r="BP22" s="38"/>
      <c r="BQ22" s="38"/>
      <c r="BR22" s="38"/>
      <c r="BS22" s="38"/>
      <c r="BT22" s="38"/>
      <c r="BU22" s="38"/>
      <c r="BV22" s="38"/>
      <c r="BW22" s="38"/>
      <c r="BX22" s="38"/>
      <c r="BY22" s="38"/>
      <c r="BZ22" s="38"/>
    </row>
    <row r="23" spans="1:78" s="5" customFormat="1" x14ac:dyDescent="0.25">
      <c r="A23" s="44" t="s">
        <v>26</v>
      </c>
      <c r="B23" s="38"/>
      <c r="C23" s="38"/>
      <c r="D23" s="38"/>
      <c r="E23" s="38"/>
      <c r="F23" s="38"/>
      <c r="G23" s="38"/>
      <c r="H23" s="38"/>
      <c r="I23" s="38"/>
      <c r="J23" s="38"/>
      <c r="K23" s="38"/>
      <c r="L23" s="38"/>
      <c r="M23" s="38"/>
      <c r="N23" s="38"/>
      <c r="O23" s="38"/>
      <c r="P23" s="38"/>
      <c r="Q23" s="38"/>
      <c r="R23" s="38"/>
      <c r="S23" s="38"/>
      <c r="T23" s="38"/>
      <c r="U23" s="38"/>
      <c r="V23" s="38"/>
      <c r="W23" s="38"/>
      <c r="X23" s="38"/>
      <c r="Y23" s="38"/>
      <c r="Z23" s="38"/>
      <c r="AA23" s="38"/>
      <c r="AB23" s="38"/>
      <c r="AC23" s="38"/>
      <c r="AD23" s="38"/>
      <c r="AE23" s="38"/>
      <c r="AF23" s="38"/>
      <c r="AG23" s="38"/>
      <c r="AH23" s="38"/>
      <c r="AI23" s="38"/>
      <c r="AJ23" s="38"/>
      <c r="AK23" s="38"/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  <c r="AX23" s="38"/>
      <c r="AY23" s="38"/>
      <c r="AZ23" s="38"/>
      <c r="BA23" s="38"/>
      <c r="BB23" s="38"/>
      <c r="BC23" s="38"/>
      <c r="BD23" s="38"/>
      <c r="BE23" s="38"/>
      <c r="BF23" s="38"/>
      <c r="BG23" s="38"/>
      <c r="BH23" s="38"/>
      <c r="BI23" s="38"/>
      <c r="BJ23" s="38"/>
      <c r="BK23" s="38"/>
      <c r="BL23" s="38"/>
      <c r="BM23" s="38"/>
      <c r="BN23" s="38"/>
      <c r="BO23" s="38"/>
      <c r="BP23" s="38"/>
      <c r="BQ23" s="38"/>
      <c r="BR23" s="38"/>
      <c r="BS23" s="38"/>
      <c r="BT23" s="38"/>
      <c r="BU23" s="38"/>
      <c r="BV23" s="38"/>
      <c r="BW23" s="38"/>
      <c r="BX23" s="38"/>
      <c r="BY23" s="38"/>
      <c r="BZ23" s="38"/>
    </row>
    <row r="24" spans="1:78" s="6" customFormat="1" x14ac:dyDescent="0.25">
      <c r="A24" s="46" t="s">
        <v>27</v>
      </c>
      <c r="B24" s="35"/>
      <c r="C24" s="35"/>
      <c r="D24" s="35"/>
      <c r="E24" s="35"/>
      <c r="F24" s="35"/>
      <c r="G24" s="35"/>
      <c r="H24" s="35"/>
      <c r="I24" s="35"/>
      <c r="J24" s="35"/>
      <c r="K24" s="35"/>
      <c r="L24" s="35"/>
      <c r="M24" s="35"/>
      <c r="N24" s="35"/>
      <c r="O24" s="35"/>
      <c r="P24" s="35"/>
      <c r="Q24" s="35"/>
      <c r="R24" s="35"/>
      <c r="S24" s="35"/>
      <c r="T24" s="35"/>
      <c r="U24" s="35"/>
      <c r="V24" s="35"/>
      <c r="W24" s="35"/>
      <c r="X24" s="35"/>
      <c r="Y24" s="35"/>
      <c r="Z24" s="35"/>
      <c r="AA24" s="35"/>
      <c r="AB24" s="35"/>
      <c r="AC24" s="35"/>
      <c r="AD24" s="35"/>
      <c r="AE24" s="35"/>
      <c r="AF24" s="35"/>
      <c r="AG24" s="35"/>
      <c r="AH24" s="35"/>
      <c r="AI24" s="35"/>
      <c r="AJ24" s="35"/>
      <c r="AK24" s="35"/>
      <c r="AL24" s="35"/>
      <c r="AM24" s="35"/>
      <c r="AN24" s="35"/>
      <c r="AO24" s="35"/>
      <c r="AP24" s="35"/>
      <c r="AQ24" s="35"/>
      <c r="AR24" s="35"/>
      <c r="AS24" s="35"/>
      <c r="AT24" s="35"/>
      <c r="AU24" s="35"/>
      <c r="AV24" s="35"/>
      <c r="AW24" s="35"/>
      <c r="AX24" s="35"/>
      <c r="AY24" s="35"/>
      <c r="AZ24" s="35"/>
      <c r="BA24" s="35"/>
      <c r="BB24" s="35"/>
      <c r="BC24" s="35"/>
      <c r="BD24" s="35"/>
      <c r="BE24" s="35"/>
      <c r="BF24" s="35"/>
      <c r="BG24" s="35"/>
      <c r="BH24" s="35"/>
      <c r="BI24" s="35"/>
      <c r="BJ24" s="35"/>
      <c r="BK24" s="35"/>
      <c r="BL24" s="35"/>
      <c r="BM24" s="35"/>
      <c r="BN24" s="35"/>
      <c r="BO24" s="35"/>
      <c r="BP24" s="35"/>
      <c r="BQ24" s="35"/>
      <c r="BR24" s="35"/>
      <c r="BS24" s="35"/>
      <c r="BT24" s="35"/>
      <c r="BU24" s="35"/>
      <c r="BV24" s="35"/>
      <c r="BW24" s="35"/>
      <c r="BX24" s="35"/>
      <c r="BY24" s="35"/>
      <c r="BZ24" s="35"/>
    </row>
    <row r="25" spans="1:78" s="6" customFormat="1" x14ac:dyDescent="0.25">
      <c r="A25" s="46" t="s">
        <v>28</v>
      </c>
      <c r="B25" s="35"/>
      <c r="C25" s="35"/>
      <c r="D25" s="35"/>
      <c r="E25" s="35"/>
      <c r="F25" s="35"/>
      <c r="G25" s="35"/>
      <c r="H25" s="35"/>
      <c r="I25" s="35"/>
      <c r="J25" s="35"/>
      <c r="K25" s="35"/>
      <c r="L25" s="35"/>
      <c r="M25" s="35"/>
      <c r="N25" s="35"/>
      <c r="O25" s="35"/>
      <c r="P25" s="35"/>
      <c r="Q25" s="35"/>
      <c r="R25" s="35"/>
      <c r="S25" s="35"/>
      <c r="T25" s="35"/>
      <c r="U25" s="35"/>
      <c r="V25" s="35"/>
      <c r="W25" s="35"/>
      <c r="X25" s="35"/>
      <c r="Y25" s="35"/>
      <c r="Z25" s="35"/>
      <c r="AA25" s="35"/>
      <c r="AB25" s="35"/>
      <c r="AC25" s="35"/>
      <c r="AD25" s="35"/>
      <c r="AE25" s="35"/>
      <c r="AF25" s="35"/>
      <c r="AG25" s="35"/>
      <c r="AH25" s="35"/>
      <c r="AI25" s="35"/>
      <c r="AJ25" s="35"/>
      <c r="AK25" s="35"/>
      <c r="AL25" s="35"/>
      <c r="AM25" s="35"/>
      <c r="AN25" s="35"/>
      <c r="AO25" s="35"/>
      <c r="AP25" s="35"/>
      <c r="AQ25" s="35"/>
      <c r="AR25" s="35"/>
      <c r="AS25" s="35"/>
      <c r="AT25" s="35"/>
      <c r="AU25" s="35"/>
      <c r="AV25" s="35"/>
      <c r="AW25" s="35"/>
      <c r="AX25" s="35"/>
      <c r="AY25" s="35"/>
      <c r="AZ25" s="35"/>
      <c r="BA25" s="35"/>
      <c r="BB25" s="35"/>
      <c r="BC25" s="35"/>
      <c r="BD25" s="35"/>
      <c r="BE25" s="35"/>
      <c r="BF25" s="35"/>
      <c r="BG25" s="35"/>
      <c r="BH25" s="35"/>
      <c r="BI25" s="35"/>
      <c r="BJ25" s="35"/>
      <c r="BK25" s="35"/>
      <c r="BL25" s="35"/>
      <c r="BM25" s="35"/>
      <c r="BN25" s="35"/>
      <c r="BO25" s="35"/>
      <c r="BP25" s="35"/>
      <c r="BQ25" s="35"/>
      <c r="BR25" s="35"/>
      <c r="BS25" s="35"/>
      <c r="BT25" s="35"/>
      <c r="BU25" s="35"/>
      <c r="BV25" s="35"/>
      <c r="BW25" s="35"/>
      <c r="BX25" s="35"/>
      <c r="BY25" s="35"/>
      <c r="BZ25" s="35"/>
    </row>
    <row r="26" spans="1:78" s="8" customFormat="1" x14ac:dyDescent="0.25">
      <c r="A26" s="48" t="s">
        <v>29</v>
      </c>
      <c r="B26" s="39"/>
      <c r="C26" s="39"/>
      <c r="D26" s="39"/>
      <c r="E26" s="39"/>
      <c r="F26" s="39"/>
      <c r="G26" s="39"/>
      <c r="H26" s="39"/>
      <c r="I26" s="39"/>
      <c r="J26" s="39"/>
      <c r="K26" s="39"/>
      <c r="L26" s="39"/>
      <c r="M26" s="39"/>
      <c r="N26" s="39"/>
      <c r="O26" s="39"/>
      <c r="P26" s="39"/>
      <c r="Q26" s="39"/>
      <c r="R26" s="39"/>
      <c r="S26" s="39"/>
      <c r="T26" s="39"/>
      <c r="U26" s="39"/>
      <c r="V26" s="39"/>
      <c r="W26" s="39"/>
      <c r="X26" s="39"/>
      <c r="Y26" s="39"/>
      <c r="Z26" s="39"/>
      <c r="AA26" s="39"/>
      <c r="AB26" s="39"/>
      <c r="AC26" s="39"/>
      <c r="AD26" s="39"/>
      <c r="AE26" s="39"/>
      <c r="AF26" s="39"/>
      <c r="AG26" s="39"/>
      <c r="AH26" s="39"/>
      <c r="AI26" s="39"/>
      <c r="AJ26" s="39"/>
      <c r="AK26" s="39"/>
      <c r="AL26" s="39"/>
      <c r="AM26" s="39"/>
      <c r="AN26" s="39"/>
      <c r="AO26" s="39"/>
      <c r="AP26" s="39"/>
      <c r="AQ26" s="39"/>
      <c r="AR26" s="39"/>
      <c r="AS26" s="39"/>
      <c r="AT26" s="39"/>
      <c r="AU26" s="39"/>
      <c r="AV26" s="39"/>
      <c r="AW26" s="39"/>
      <c r="AX26" s="39"/>
      <c r="AY26" s="39"/>
      <c r="AZ26" s="39"/>
      <c r="BA26" s="39"/>
      <c r="BB26" s="39"/>
      <c r="BC26" s="39"/>
      <c r="BD26" s="39"/>
      <c r="BE26" s="39"/>
      <c r="BF26" s="39"/>
      <c r="BG26" s="39"/>
      <c r="BH26" s="39"/>
      <c r="BI26" s="39"/>
      <c r="BJ26" s="39"/>
      <c r="BK26" s="39"/>
      <c r="BL26" s="39"/>
      <c r="BM26" s="39"/>
      <c r="BN26" s="39"/>
      <c r="BO26" s="39"/>
      <c r="BP26" s="39"/>
      <c r="BQ26" s="39"/>
      <c r="BR26" s="39"/>
      <c r="BS26" s="39"/>
      <c r="BT26" s="39"/>
      <c r="BU26" s="39"/>
      <c r="BV26" s="39"/>
      <c r="BW26" s="39"/>
      <c r="BX26" s="39"/>
      <c r="BY26" s="39"/>
      <c r="BZ26" s="39"/>
    </row>
    <row r="27" spans="1:78" s="8" customFormat="1" x14ac:dyDescent="0.25">
      <c r="A27" s="48" t="s">
        <v>30</v>
      </c>
      <c r="B27" s="39"/>
      <c r="C27" s="39"/>
      <c r="D27" s="39"/>
      <c r="E27" s="39"/>
      <c r="F27" s="39"/>
      <c r="G27" s="39"/>
      <c r="H27" s="39"/>
      <c r="I27" s="39"/>
      <c r="J27" s="39"/>
      <c r="K27" s="39"/>
      <c r="L27" s="39"/>
      <c r="M27" s="39"/>
      <c r="N27" s="39"/>
      <c r="O27" s="39"/>
      <c r="P27" s="39"/>
      <c r="Q27" s="39"/>
      <c r="R27" s="39"/>
      <c r="S27" s="39"/>
      <c r="T27" s="39"/>
      <c r="U27" s="39"/>
      <c r="V27" s="39"/>
      <c r="W27" s="39"/>
      <c r="X27" s="39"/>
      <c r="Y27" s="39"/>
      <c r="Z27" s="39"/>
      <c r="AA27" s="39"/>
      <c r="AB27" s="39"/>
      <c r="AC27" s="39"/>
      <c r="AD27" s="39"/>
      <c r="AE27" s="39"/>
      <c r="AF27" s="39"/>
      <c r="AG27" s="39"/>
      <c r="AH27" s="39"/>
      <c r="AI27" s="39"/>
      <c r="AJ27" s="39"/>
      <c r="AK27" s="39"/>
      <c r="AL27" s="39"/>
      <c r="AM27" s="39"/>
      <c r="AN27" s="39"/>
      <c r="AO27" s="39"/>
      <c r="AP27" s="39"/>
      <c r="AQ27" s="39"/>
      <c r="AR27" s="39"/>
      <c r="AS27" s="39"/>
      <c r="AT27" s="39"/>
      <c r="AU27" s="39"/>
      <c r="AV27" s="39"/>
      <c r="AW27" s="39"/>
      <c r="AX27" s="39"/>
      <c r="AY27" s="39"/>
      <c r="AZ27" s="39"/>
      <c r="BA27" s="39"/>
      <c r="BB27" s="39"/>
      <c r="BC27" s="39"/>
      <c r="BD27" s="39"/>
      <c r="BE27" s="39"/>
      <c r="BF27" s="39"/>
      <c r="BG27" s="39"/>
      <c r="BH27" s="39"/>
      <c r="BI27" s="39"/>
      <c r="BJ27" s="39"/>
      <c r="BK27" s="39"/>
      <c r="BL27" s="39"/>
      <c r="BM27" s="39"/>
      <c r="BN27" s="39"/>
      <c r="BO27" s="39"/>
      <c r="BP27" s="39"/>
      <c r="BQ27" s="39"/>
      <c r="BR27" s="39"/>
      <c r="BS27" s="39"/>
      <c r="BT27" s="39"/>
      <c r="BU27" s="39"/>
      <c r="BV27" s="39"/>
      <c r="BW27" s="39"/>
      <c r="BX27" s="39"/>
      <c r="BY27" s="39"/>
      <c r="BZ27" s="39"/>
    </row>
    <row r="28" spans="1:78" s="6" customFormat="1" x14ac:dyDescent="0.25">
      <c r="A28" s="46" t="s">
        <v>31</v>
      </c>
      <c r="B28" s="35"/>
      <c r="C28" s="35"/>
      <c r="D28" s="35"/>
      <c r="E28" s="35"/>
      <c r="F28" s="35"/>
      <c r="G28" s="35"/>
      <c r="H28" s="35"/>
      <c r="I28" s="35"/>
      <c r="J28" s="35"/>
      <c r="K28" s="35"/>
      <c r="L28" s="35"/>
      <c r="M28" s="35"/>
      <c r="N28" s="35"/>
      <c r="O28" s="35"/>
      <c r="P28" s="35"/>
      <c r="Q28" s="35"/>
      <c r="R28" s="35"/>
      <c r="S28" s="35"/>
      <c r="T28" s="35"/>
      <c r="U28" s="35"/>
      <c r="V28" s="35"/>
      <c r="W28" s="35"/>
      <c r="X28" s="35"/>
      <c r="Y28" s="35"/>
      <c r="Z28" s="35"/>
      <c r="AA28" s="35"/>
      <c r="AB28" s="35"/>
      <c r="AC28" s="35"/>
      <c r="AD28" s="35"/>
      <c r="AE28" s="35"/>
      <c r="AF28" s="35"/>
      <c r="AG28" s="35"/>
      <c r="AH28" s="35"/>
      <c r="AI28" s="35"/>
      <c r="AJ28" s="35"/>
      <c r="AK28" s="35"/>
      <c r="AL28" s="35"/>
      <c r="AM28" s="35"/>
      <c r="AN28" s="35"/>
      <c r="AO28" s="35"/>
      <c r="AP28" s="35"/>
      <c r="AQ28" s="35"/>
      <c r="AR28" s="35"/>
      <c r="AS28" s="35"/>
      <c r="AT28" s="35"/>
      <c r="AU28" s="35"/>
      <c r="AV28" s="35"/>
      <c r="AW28" s="35"/>
      <c r="AX28" s="35"/>
      <c r="AY28" s="35"/>
      <c r="AZ28" s="35"/>
      <c r="BA28" s="35"/>
      <c r="BB28" s="35"/>
      <c r="BC28" s="35"/>
      <c r="BD28" s="35"/>
      <c r="BE28" s="35"/>
      <c r="BF28" s="35"/>
      <c r="BG28" s="35"/>
      <c r="BH28" s="35"/>
      <c r="BI28" s="35"/>
      <c r="BJ28" s="35"/>
      <c r="BK28" s="35"/>
      <c r="BL28" s="35"/>
      <c r="BM28" s="35"/>
      <c r="BN28" s="35"/>
      <c r="BO28" s="35"/>
      <c r="BP28" s="35"/>
      <c r="BQ28" s="35"/>
      <c r="BR28" s="35"/>
      <c r="BS28" s="35"/>
      <c r="BT28" s="35"/>
      <c r="BU28" s="35"/>
      <c r="BV28" s="35"/>
      <c r="BW28" s="35"/>
      <c r="BX28" s="35"/>
      <c r="BY28" s="35"/>
      <c r="BZ28" s="35"/>
    </row>
    <row r="29" spans="1:78" s="6" customFormat="1" x14ac:dyDescent="0.25">
      <c r="A29" s="46" t="s">
        <v>32</v>
      </c>
      <c r="B29" s="35"/>
      <c r="C29" s="35"/>
      <c r="D29" s="35"/>
      <c r="E29" s="35"/>
      <c r="F29" s="35"/>
      <c r="G29" s="35"/>
      <c r="H29" s="35"/>
      <c r="I29" s="35"/>
      <c r="J29" s="35"/>
      <c r="K29" s="35"/>
      <c r="L29" s="35"/>
      <c r="M29" s="35"/>
      <c r="N29" s="35"/>
      <c r="O29" s="35"/>
      <c r="P29" s="35"/>
      <c r="Q29" s="35"/>
      <c r="R29" s="35"/>
      <c r="S29" s="35"/>
      <c r="T29" s="35"/>
      <c r="U29" s="35"/>
      <c r="V29" s="35"/>
      <c r="W29" s="35"/>
      <c r="X29" s="35"/>
      <c r="Y29" s="35"/>
      <c r="Z29" s="35"/>
      <c r="AA29" s="35"/>
      <c r="AB29" s="35"/>
      <c r="AC29" s="35"/>
      <c r="AD29" s="35"/>
      <c r="AE29" s="35"/>
      <c r="AF29" s="35"/>
      <c r="AG29" s="35"/>
      <c r="AH29" s="35"/>
      <c r="AI29" s="35"/>
      <c r="AJ29" s="35"/>
      <c r="AK29" s="35"/>
      <c r="AL29" s="35"/>
      <c r="AM29" s="35"/>
      <c r="AN29" s="35"/>
      <c r="AO29" s="35"/>
      <c r="AP29" s="35"/>
      <c r="AQ29" s="35"/>
      <c r="AR29" s="35"/>
      <c r="AS29" s="35"/>
      <c r="AT29" s="35"/>
      <c r="AU29" s="35"/>
      <c r="AV29" s="35"/>
      <c r="AW29" s="35"/>
      <c r="AX29" s="35"/>
      <c r="AY29" s="35"/>
      <c r="AZ29" s="35"/>
      <c r="BA29" s="35"/>
      <c r="BB29" s="35"/>
      <c r="BC29" s="35"/>
      <c r="BD29" s="35"/>
      <c r="BE29" s="35"/>
      <c r="BF29" s="35"/>
      <c r="BG29" s="35"/>
      <c r="BH29" s="35"/>
      <c r="BI29" s="35"/>
      <c r="BJ29" s="35"/>
      <c r="BK29" s="35"/>
      <c r="BL29" s="35"/>
      <c r="BM29" s="35"/>
      <c r="BN29" s="35"/>
      <c r="BO29" s="35"/>
      <c r="BP29" s="35"/>
      <c r="BQ29" s="35"/>
      <c r="BR29" s="35"/>
      <c r="BS29" s="35"/>
      <c r="BT29" s="35"/>
      <c r="BU29" s="35"/>
      <c r="BV29" s="35"/>
      <c r="BW29" s="35"/>
      <c r="BX29" s="35"/>
      <c r="BY29" s="35"/>
      <c r="BZ29" s="35"/>
    </row>
    <row r="30" spans="1:78" s="8" customFormat="1" x14ac:dyDescent="0.25">
      <c r="A30" s="48" t="s">
        <v>33</v>
      </c>
      <c r="B30" s="39"/>
      <c r="C30" s="39"/>
      <c r="D30" s="39"/>
      <c r="E30" s="39"/>
      <c r="F30" s="39"/>
      <c r="G30" s="39"/>
      <c r="H30" s="39"/>
      <c r="I30" s="39"/>
      <c r="J30" s="39"/>
      <c r="K30" s="39"/>
      <c r="L30" s="39"/>
      <c r="M30" s="39"/>
      <c r="N30" s="39"/>
      <c r="O30" s="39"/>
      <c r="P30" s="39"/>
      <c r="Q30" s="39"/>
      <c r="R30" s="39"/>
      <c r="S30" s="39"/>
      <c r="T30" s="39"/>
      <c r="U30" s="39"/>
      <c r="V30" s="39"/>
      <c r="W30" s="39"/>
      <c r="X30" s="39"/>
      <c r="Y30" s="39"/>
      <c r="Z30" s="39"/>
      <c r="AA30" s="39"/>
      <c r="AB30" s="39"/>
      <c r="AC30" s="39"/>
      <c r="AD30" s="39"/>
      <c r="AE30" s="39"/>
      <c r="AF30" s="39"/>
      <c r="AG30" s="39"/>
      <c r="AH30" s="39"/>
      <c r="AI30" s="39"/>
      <c r="AJ30" s="39"/>
      <c r="AK30" s="39"/>
      <c r="AL30" s="39"/>
      <c r="AM30" s="39"/>
      <c r="AN30" s="39"/>
      <c r="AO30" s="39"/>
      <c r="AP30" s="39"/>
      <c r="AQ30" s="39"/>
      <c r="AR30" s="39"/>
      <c r="AS30" s="39"/>
      <c r="AT30" s="39"/>
      <c r="AU30" s="39"/>
      <c r="AV30" s="39"/>
      <c r="AW30" s="39"/>
      <c r="AX30" s="39"/>
      <c r="AY30" s="39"/>
      <c r="AZ30" s="39"/>
      <c r="BA30" s="39"/>
      <c r="BB30" s="39"/>
      <c r="BC30" s="39"/>
      <c r="BD30" s="39"/>
      <c r="BE30" s="39"/>
      <c r="BF30" s="39"/>
      <c r="BG30" s="39"/>
      <c r="BH30" s="39"/>
      <c r="BI30" s="39"/>
      <c r="BJ30" s="39"/>
      <c r="BK30" s="39"/>
      <c r="BL30" s="39"/>
      <c r="BM30" s="39"/>
      <c r="BN30" s="39"/>
      <c r="BO30" s="39"/>
      <c r="BP30" s="39"/>
      <c r="BQ30" s="39"/>
      <c r="BR30" s="39"/>
      <c r="BS30" s="39"/>
      <c r="BT30" s="39"/>
      <c r="BU30" s="39"/>
      <c r="BV30" s="39"/>
      <c r="BW30" s="39"/>
      <c r="BX30" s="39"/>
      <c r="BY30" s="39"/>
      <c r="BZ30" s="39"/>
    </row>
    <row r="31" spans="1:78" s="8" customFormat="1" x14ac:dyDescent="0.25">
      <c r="A31" s="48" t="s">
        <v>34</v>
      </c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O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  <c r="AA31" s="39"/>
      <c r="AB31" s="39"/>
      <c r="AC31" s="39"/>
      <c r="AD31" s="39"/>
      <c r="AE31" s="39"/>
      <c r="AF31" s="39"/>
      <c r="AG31" s="39"/>
      <c r="AH31" s="39"/>
      <c r="AI31" s="39"/>
      <c r="AJ31" s="39"/>
      <c r="AK31" s="39"/>
      <c r="AL31" s="39"/>
      <c r="AM31" s="39"/>
      <c r="AN31" s="39"/>
      <c r="AO31" s="39"/>
      <c r="AP31" s="39"/>
      <c r="AQ31" s="39"/>
      <c r="AR31" s="39"/>
      <c r="AS31" s="39"/>
      <c r="AT31" s="39"/>
      <c r="AU31" s="39"/>
      <c r="AV31" s="39"/>
      <c r="AW31" s="39"/>
      <c r="AX31" s="39"/>
      <c r="AY31" s="39"/>
      <c r="AZ31" s="39"/>
      <c r="BA31" s="39"/>
      <c r="BB31" s="39"/>
      <c r="BC31" s="39"/>
      <c r="BD31" s="39"/>
      <c r="BE31" s="39"/>
      <c r="BF31" s="39"/>
      <c r="BG31" s="39"/>
      <c r="BH31" s="39"/>
      <c r="BI31" s="39"/>
      <c r="BJ31" s="39"/>
      <c r="BK31" s="39"/>
      <c r="BL31" s="39"/>
      <c r="BM31" s="39"/>
      <c r="BN31" s="39"/>
      <c r="BO31" s="39"/>
      <c r="BP31" s="39"/>
      <c r="BQ31" s="39"/>
      <c r="BR31" s="39"/>
      <c r="BS31" s="39"/>
      <c r="BT31" s="39"/>
      <c r="BU31" s="39"/>
      <c r="BV31" s="39"/>
      <c r="BW31" s="39"/>
      <c r="BX31" s="39"/>
      <c r="BY31" s="39"/>
      <c r="BZ31" s="39"/>
    </row>
    <row r="32" spans="1:78" s="6" customFormat="1" x14ac:dyDescent="0.25">
      <c r="A32" s="46" t="s">
        <v>35</v>
      </c>
      <c r="B32" s="35"/>
      <c r="C32" s="35"/>
      <c r="D32" s="35"/>
      <c r="E32" s="35"/>
      <c r="F32" s="35"/>
      <c r="G32" s="35"/>
      <c r="H32" s="35"/>
      <c r="I32" s="35"/>
      <c r="J32" s="35"/>
      <c r="K32" s="35"/>
      <c r="L32" s="35"/>
      <c r="M32" s="35"/>
      <c r="N32" s="35"/>
      <c r="O32" s="35"/>
      <c r="P32" s="35"/>
      <c r="Q32" s="35"/>
      <c r="R32" s="35"/>
      <c r="S32" s="35"/>
      <c r="T32" s="35"/>
      <c r="U32" s="35"/>
      <c r="V32" s="35"/>
      <c r="W32" s="35"/>
      <c r="X32" s="35"/>
      <c r="Y32" s="35"/>
      <c r="Z32" s="35"/>
      <c r="AA32" s="35"/>
      <c r="AB32" s="35"/>
      <c r="AC32" s="35"/>
      <c r="AD32" s="35"/>
      <c r="AE32" s="35"/>
      <c r="AF32" s="35"/>
      <c r="AG32" s="35"/>
      <c r="AH32" s="35"/>
      <c r="AI32" s="35"/>
      <c r="AJ32" s="35"/>
      <c r="AK32" s="35"/>
      <c r="AL32" s="35"/>
      <c r="AM32" s="35"/>
      <c r="AN32" s="35"/>
      <c r="AO32" s="35"/>
      <c r="AP32" s="35"/>
      <c r="AQ32" s="35"/>
      <c r="AR32" s="35"/>
      <c r="AS32" s="35"/>
      <c r="AT32" s="35"/>
      <c r="AU32" s="35"/>
      <c r="AV32" s="35"/>
      <c r="AW32" s="35"/>
      <c r="AX32" s="35"/>
      <c r="AY32" s="35"/>
      <c r="AZ32" s="35"/>
      <c r="BA32" s="35"/>
      <c r="BB32" s="35"/>
      <c r="BC32" s="35"/>
      <c r="BD32" s="35"/>
      <c r="BE32" s="35"/>
      <c r="BF32" s="35"/>
      <c r="BG32" s="35"/>
      <c r="BH32" s="35"/>
      <c r="BI32" s="35"/>
      <c r="BJ32" s="35"/>
      <c r="BK32" s="35"/>
      <c r="BL32" s="35"/>
      <c r="BM32" s="35"/>
      <c r="BN32" s="35"/>
      <c r="BO32" s="35"/>
      <c r="BP32" s="35"/>
      <c r="BQ32" s="35"/>
      <c r="BR32" s="35"/>
      <c r="BS32" s="35"/>
      <c r="BT32" s="35"/>
      <c r="BU32" s="35"/>
      <c r="BV32" s="35"/>
      <c r="BW32" s="35"/>
      <c r="BX32" s="35"/>
      <c r="BY32" s="35"/>
      <c r="BZ32" s="35"/>
    </row>
    <row r="33" spans="1:231" s="6" customFormat="1" x14ac:dyDescent="0.25">
      <c r="A33" s="46" t="s">
        <v>36</v>
      </c>
      <c r="B33" s="35"/>
      <c r="C33" s="35"/>
      <c r="D33" s="35"/>
      <c r="E33" s="35"/>
      <c r="F33" s="35"/>
      <c r="G33" s="35"/>
      <c r="H33" s="35"/>
      <c r="I33" s="35"/>
      <c r="J33" s="35"/>
      <c r="K33" s="35"/>
      <c r="L33" s="35"/>
      <c r="M33" s="35"/>
      <c r="N33" s="35"/>
      <c r="O33" s="35"/>
      <c r="P33" s="35"/>
      <c r="Q33" s="35"/>
      <c r="R33" s="35"/>
      <c r="S33" s="35"/>
      <c r="T33" s="35"/>
      <c r="U33" s="35"/>
      <c r="V33" s="35"/>
      <c r="W33" s="35"/>
      <c r="X33" s="35"/>
      <c r="Y33" s="35"/>
      <c r="Z33" s="35"/>
      <c r="AA33" s="35"/>
      <c r="AB33" s="35"/>
      <c r="AC33" s="35"/>
      <c r="AD33" s="35"/>
      <c r="AE33" s="35"/>
      <c r="AF33" s="35"/>
      <c r="AG33" s="35"/>
      <c r="AH33" s="35"/>
      <c r="AI33" s="35"/>
      <c r="AJ33" s="35"/>
      <c r="AK33" s="35"/>
      <c r="AL33" s="35"/>
      <c r="AM33" s="35"/>
      <c r="AN33" s="35"/>
      <c r="AO33" s="35"/>
      <c r="AP33" s="35"/>
      <c r="AQ33" s="35"/>
      <c r="AR33" s="35"/>
      <c r="AS33" s="35"/>
      <c r="AT33" s="35"/>
      <c r="AU33" s="35"/>
      <c r="AV33" s="35"/>
      <c r="AW33" s="35"/>
      <c r="AX33" s="35"/>
      <c r="AY33" s="35"/>
      <c r="AZ33" s="35"/>
      <c r="BA33" s="35"/>
      <c r="BB33" s="35"/>
      <c r="BC33" s="35"/>
      <c r="BD33" s="35"/>
      <c r="BE33" s="35"/>
      <c r="BF33" s="35"/>
      <c r="BG33" s="35"/>
      <c r="BH33" s="35"/>
      <c r="BI33" s="35"/>
      <c r="BJ33" s="35"/>
      <c r="BK33" s="35"/>
      <c r="BL33" s="35"/>
      <c r="BM33" s="35"/>
      <c r="BN33" s="35"/>
      <c r="BO33" s="35"/>
      <c r="BP33" s="35"/>
      <c r="BQ33" s="35"/>
      <c r="BR33" s="35"/>
      <c r="BS33" s="35"/>
      <c r="BT33" s="35"/>
      <c r="BU33" s="35"/>
      <c r="BV33" s="35"/>
      <c r="BW33" s="35"/>
      <c r="BX33" s="35"/>
      <c r="BY33" s="35"/>
      <c r="BZ33" s="35"/>
    </row>
    <row r="35" spans="1:231" x14ac:dyDescent="0.25">
      <c r="A35" s="13" t="s">
        <v>37</v>
      </c>
      <c r="B35" s="59" t="s">
        <v>38</v>
      </c>
      <c r="C35" s="59"/>
      <c r="D35" s="59" t="s">
        <v>39</v>
      </c>
      <c r="E35" s="59"/>
      <c r="F35" s="14" t="s">
        <v>15</v>
      </c>
      <c r="G35" s="12" t="s">
        <v>16</v>
      </c>
      <c r="H35" s="12" t="s">
        <v>17</v>
      </c>
      <c r="I35" s="12" t="s">
        <v>18</v>
      </c>
      <c r="J35" s="12" t="s">
        <v>19</v>
      </c>
      <c r="K35" s="12" t="s">
        <v>20</v>
      </c>
      <c r="L35" s="10" t="s">
        <v>21</v>
      </c>
      <c r="M35" s="10" t="s">
        <v>22</v>
      </c>
      <c r="N35" s="10" t="s">
        <v>23</v>
      </c>
      <c r="O35" s="10" t="s">
        <v>24</v>
      </c>
      <c r="P35" s="10" t="s">
        <v>25</v>
      </c>
      <c r="Q35" s="10" t="s">
        <v>26</v>
      </c>
      <c r="R35" s="11">
        <v>4</v>
      </c>
      <c r="S35" s="11">
        <v>5</v>
      </c>
      <c r="T35" s="11">
        <v>6</v>
      </c>
      <c r="U35" s="11">
        <v>7</v>
      </c>
      <c r="V35" s="11">
        <v>8</v>
      </c>
      <c r="W35" s="11">
        <v>9</v>
      </c>
      <c r="X35" s="11">
        <v>10</v>
      </c>
      <c r="Y35" s="11">
        <v>11</v>
      </c>
      <c r="Z35" s="11">
        <v>12</v>
      </c>
      <c r="AA35" s="11">
        <v>13</v>
      </c>
      <c r="AB35" s="11">
        <v>14</v>
      </c>
      <c r="AC35" s="11">
        <v>15</v>
      </c>
      <c r="AD35" s="11">
        <v>16</v>
      </c>
      <c r="AE35" s="11">
        <v>17</v>
      </c>
    </row>
    <row r="36" spans="1:231" x14ac:dyDescent="0.25">
      <c r="A36" s="13">
        <f ca="1">SUM(C36+E36)+SUM(F36:AE36)</f>
        <v>22</v>
      </c>
      <c r="B36" s="6" t="str">
        <f ca="1">IF(B37=C37,"无",IF(B37&gt;C37,"买大","买小"))</f>
        <v>买小</v>
      </c>
      <c r="C36" s="6">
        <f ca="1">ABS(B37-C37)</f>
        <v>11</v>
      </c>
      <c r="D36" s="6" t="str">
        <f ca="1">IF(D37=E37,"无",IF(D37&gt;E37,"买单","买双"))</f>
        <v>无</v>
      </c>
      <c r="E36" s="6">
        <f ca="1">ABS(D37-E37)</f>
        <v>0</v>
      </c>
      <c r="F36" s="15">
        <f ca="1">SUM(INDIRECT("R"&amp;F38&amp;"c2",0):INDIRECT("R"&amp;F38&amp;"C"&amp;$T1+1,0))</f>
        <v>11</v>
      </c>
      <c r="G36" s="7">
        <f ca="1">SUM(INDIRECT("R"&amp;G38&amp;"c2",0):INDIRECT("R"&amp;G38&amp;"C"&amp;$T1+1,0))</f>
        <v>0</v>
      </c>
      <c r="H36" s="7">
        <f ca="1">SUM(INDIRECT("R"&amp;H38&amp;"c2",0):INDIRECT("R"&amp;H38&amp;"C"&amp;$T1+1,0))</f>
        <v>0</v>
      </c>
      <c r="I36" s="7">
        <f ca="1">SUM(INDIRECT("R"&amp;I38&amp;"c2",0):INDIRECT("R"&amp;I38&amp;"C"&amp;$T1+1,0))</f>
        <v>0</v>
      </c>
      <c r="J36" s="7">
        <f ca="1">SUM(INDIRECT("R"&amp;J38&amp;"c2",0):INDIRECT("R"&amp;J38&amp;"C"&amp;$T1+1,0))</f>
        <v>0</v>
      </c>
      <c r="K36" s="7">
        <f ca="1">SUM(INDIRECT("R"&amp;K38&amp;"c2",0):INDIRECT("R"&amp;K38&amp;"C"&amp;$T1+1,0))</f>
        <v>0</v>
      </c>
      <c r="L36" s="7">
        <f ca="1">SUM(INDIRECT("R"&amp;L38&amp;"c2",0):INDIRECT("R"&amp;L38&amp;"C"&amp;$T1+1,0))</f>
        <v>0</v>
      </c>
      <c r="M36" s="7">
        <f ca="1">SUM(INDIRECT("R"&amp;M38&amp;"c2",0):INDIRECT("R"&amp;M38&amp;"C"&amp;$T1+1,0))</f>
        <v>0</v>
      </c>
      <c r="N36" s="7">
        <f ca="1">SUM(INDIRECT("R"&amp;N38&amp;"c2",0):INDIRECT("R"&amp;N38&amp;"C"&amp;$T1+1,0))</f>
        <v>0</v>
      </c>
      <c r="O36" s="7">
        <f ca="1">SUM(INDIRECT("R"&amp;O38&amp;"c2",0):INDIRECT("R"&amp;O38&amp;"C"&amp;$T1+1,0))</f>
        <v>0</v>
      </c>
      <c r="P36" s="7">
        <f ca="1">SUM(INDIRECT("R"&amp;P38&amp;"c2",0):INDIRECT("R"&amp;P38&amp;"C"&amp;$T1+1,0))</f>
        <v>0</v>
      </c>
      <c r="Q36" s="7">
        <f ca="1">SUM(INDIRECT("R"&amp;Q38&amp;"c2",0):INDIRECT("R"&amp;Q38&amp;"C"&amp;$T1+1,0))</f>
        <v>0</v>
      </c>
      <c r="R36" s="6">
        <f ca="1">SUMIF(INDIRECT("R"&amp;$R38&amp;"c2",0):INDIRECT("R"&amp;$R38&amp;"C"&amp;$T1+1,0),R35,INDIRECT("R"&amp;$S38&amp;"c2",0):INDIRECT("R"&amp;$S38&amp;"C"&amp;$T1+1,0))+SUMIF(INDIRECT("R"&amp;$T38&amp;"c2",0):INDIRECT("R"&amp;$T38&amp;"C"&amp;$T1+1,0),R35,INDIRECT("R"&amp;$U38&amp;"c2",0):INDIRECT("R"&amp;$U38&amp;"C"&amp;$T1+1,0))+SUMIF(INDIRECT("R"&amp;$V38&amp;"c2",0):INDIRECT("R"&amp;$V38&amp;"C"&amp;$T1+1,0),R35,INDIRECT("R"&amp;$W38&amp;"c2",0):INDIRECT("R"&amp;$W38&amp;"C"&amp;$T1+1,0))+SUMIF(INDIRECT("R"&amp;$X38&amp;"c2",0):INDIRECT("R"&amp;$X38&amp;"C"&amp;$T1+1,0),R35,INDIRECT("R"&amp;$Y38&amp;"c2",0):INDIRECT("R"&amp;$Y38&amp;"C"&amp;$T1+1,0))+SUMIF(INDIRECT("R"&amp;$Z38&amp;"c2",0):INDIRECT("R"&amp;$Z38&amp;"C"&amp;$T1+1,0),R35,INDIRECT("R"&amp;$AA38&amp;"c2",0):INDIRECT("R"&amp;$AA38&amp;"C"&amp;$T1+1,0))</f>
        <v>0</v>
      </c>
      <c r="S36" s="6">
        <f ca="1">SUMIF(INDIRECT("R"&amp;$R38&amp;"c2",0):INDIRECT("R"&amp;$R38&amp;"C"&amp;$T1+1,0),S35,INDIRECT("R"&amp;$S38&amp;"c2",0):INDIRECT("R"&amp;$S38&amp;"C"&amp;$T1+1,0))+SUMIF(INDIRECT("R"&amp;$T38&amp;"c2",0):INDIRECT("R"&amp;$T38&amp;"C"&amp;$T1+1,0),S35,INDIRECT("R"&amp;$U38&amp;"c2",0):INDIRECT("R"&amp;$U38&amp;"C"&amp;$T1+1,0))+SUMIF(INDIRECT("R"&amp;$V38&amp;"c2",0):INDIRECT("R"&amp;$V38&amp;"C"&amp;$T1+1,0),S35,INDIRECT("R"&amp;$W38&amp;"c2",0):INDIRECT("R"&amp;$W38&amp;"C"&amp;$T1+1,0))+SUMIF(INDIRECT("R"&amp;$X38&amp;"c2",0):INDIRECT("R"&amp;$X38&amp;"C"&amp;$T1+1,0),S35,INDIRECT("R"&amp;$Y38&amp;"c2",0):INDIRECT("R"&amp;$Y38&amp;"C"&amp;$T1+1,0))+SUMIF(INDIRECT("R"&amp;$Z38&amp;"c2",0):INDIRECT("R"&amp;$Z38&amp;"C"&amp;$T1+1,0),S35,INDIRECT("R"&amp;$AA38&amp;"c2",0):INDIRECT("R"&amp;$AA38&amp;"C"&amp;$T1+1,0))</f>
        <v>0</v>
      </c>
      <c r="T36" s="6">
        <f ca="1">SUMIF(INDIRECT("R"&amp;$R38&amp;"c2",0):INDIRECT("R"&amp;$R38&amp;"C"&amp;$T1+1,0),T35,INDIRECT("R"&amp;$S38&amp;"c2",0):INDIRECT("R"&amp;$S38&amp;"C"&amp;$T1+1,0))+SUMIF(INDIRECT("R"&amp;$T38&amp;"c2",0):INDIRECT("R"&amp;$T38&amp;"C"&amp;$T1+1,0),T35,INDIRECT("R"&amp;$U38&amp;"c2",0):INDIRECT("R"&amp;$U38&amp;"C"&amp;$T1+1,0))+SUMIF(INDIRECT("R"&amp;$V38&amp;"c2",0):INDIRECT("R"&amp;$V38&amp;"C"&amp;$T1+1,0),T35,INDIRECT("R"&amp;$W38&amp;"c2",0):INDIRECT("R"&amp;$W38&amp;"C"&amp;$T1+1,0))+SUMIF(INDIRECT("R"&amp;$X38&amp;"c2",0):INDIRECT("R"&amp;$X38&amp;"C"&amp;$T1+1,0),T35,INDIRECT("R"&amp;$Y38&amp;"c2",0):INDIRECT("R"&amp;$Y38&amp;"C"&amp;$T1+1,0))+SUMIF(INDIRECT("R"&amp;$Z38&amp;"c2",0):INDIRECT("R"&amp;$Z38&amp;"C"&amp;$T1+1,0),T35,INDIRECT("R"&amp;$AA38&amp;"c2",0):INDIRECT("R"&amp;$AA38&amp;"C"&amp;$T1+1,0))</f>
        <v>0</v>
      </c>
      <c r="U36" s="6">
        <f ca="1">SUMIF(INDIRECT("R"&amp;$R38&amp;"c2",0):INDIRECT("R"&amp;$R38&amp;"C"&amp;$T1+1,0),U35,INDIRECT("R"&amp;$S38&amp;"c2",0):INDIRECT("R"&amp;$S38&amp;"C"&amp;$T1+1,0))+SUMIF(INDIRECT("R"&amp;$T38&amp;"c2",0):INDIRECT("R"&amp;$T38&amp;"C"&amp;$T1+1,0),U35,INDIRECT("R"&amp;$U38&amp;"c2",0):INDIRECT("R"&amp;$U38&amp;"C"&amp;$T1+1,0))+SUMIF(INDIRECT("R"&amp;$V38&amp;"c2",0):INDIRECT("R"&amp;$V38&amp;"C"&amp;$T1+1,0),U35,INDIRECT("R"&amp;$W38&amp;"c2",0):INDIRECT("R"&amp;$W38&amp;"C"&amp;$T1+1,0))+SUMIF(INDIRECT("R"&amp;$X38&amp;"c2",0):INDIRECT("R"&amp;$X38&amp;"C"&amp;$T1+1,0),U35,INDIRECT("R"&amp;$Y38&amp;"c2",0):INDIRECT("R"&amp;$Y38&amp;"C"&amp;$T1+1,0))+SUMIF(INDIRECT("R"&amp;$Z38&amp;"c2",0):INDIRECT("R"&amp;$Z38&amp;"C"&amp;$T1+1,0),U35,INDIRECT("R"&amp;$AA38&amp;"c2",0):INDIRECT("R"&amp;$AA38&amp;"C"&amp;$T1+1,0))</f>
        <v>0</v>
      </c>
      <c r="V36" s="6">
        <f ca="1">SUMIF(INDIRECT("R"&amp;$R38&amp;"c2",0):INDIRECT("R"&amp;$R38&amp;"C"&amp;$T1+1,0),V35,INDIRECT("R"&amp;$S38&amp;"c2",0):INDIRECT("R"&amp;$S38&amp;"C"&amp;$T1+1,0))+SUMIF(INDIRECT("R"&amp;$T38&amp;"c2",0):INDIRECT("R"&amp;$T38&amp;"C"&amp;$T1+1,0),V35,INDIRECT("R"&amp;$U38&amp;"c2",0):INDIRECT("R"&amp;$U38&amp;"C"&amp;$T1+1,0))+SUMIF(INDIRECT("R"&amp;$V38&amp;"c2",0):INDIRECT("R"&amp;$V38&amp;"C"&amp;$T1+1,0),V35,INDIRECT("R"&amp;$W38&amp;"c2",0):INDIRECT("R"&amp;$W38&amp;"C"&amp;$T1+1,0))+SUMIF(INDIRECT("R"&amp;$X38&amp;"c2",0):INDIRECT("R"&amp;$X38&amp;"C"&amp;$T1+1,0),V35,INDIRECT("R"&amp;$Y38&amp;"c2",0):INDIRECT("R"&amp;$Y38&amp;"C"&amp;$T1+1,0))+SUMIF(INDIRECT("R"&amp;$Z38&amp;"c2",0):INDIRECT("R"&amp;$Z38&amp;"C"&amp;$T1+1,0),V35,INDIRECT("R"&amp;$AA38&amp;"c2",0):INDIRECT("R"&amp;$AA38&amp;"C"&amp;$T1+1,0))</f>
        <v>0</v>
      </c>
      <c r="W36" s="6">
        <f ca="1">SUMIF(INDIRECT("R"&amp;$R38&amp;"c2",0):INDIRECT("R"&amp;$R38&amp;"C"&amp;$T1+1,0),W35,INDIRECT("R"&amp;$S38&amp;"c2",0):INDIRECT("R"&amp;$S38&amp;"C"&amp;$T1+1,0))+SUMIF(INDIRECT("R"&amp;$T38&amp;"c2",0):INDIRECT("R"&amp;$T38&amp;"C"&amp;$T1+1,0),W35,INDIRECT("R"&amp;$U38&amp;"c2",0):INDIRECT("R"&amp;$U38&amp;"C"&amp;$T1+1,0))+SUMIF(INDIRECT("R"&amp;$V38&amp;"c2",0):INDIRECT("R"&amp;$V38&amp;"C"&amp;$T1+1,0),W35,INDIRECT("R"&amp;$W38&amp;"c2",0):INDIRECT("R"&amp;$W38&amp;"C"&amp;$T1+1,0))+SUMIF(INDIRECT("R"&amp;$X38&amp;"c2",0):INDIRECT("R"&amp;$X38&amp;"C"&amp;$T1+1,0),W35,INDIRECT("R"&amp;$Y38&amp;"c2",0):INDIRECT("R"&amp;$Y38&amp;"C"&amp;$T1+1,0))+SUMIF(INDIRECT("R"&amp;$Z38&amp;"c2",0):INDIRECT("R"&amp;$Z38&amp;"C"&amp;$T1+1,0),W35,INDIRECT("R"&amp;$AA38&amp;"c2",0):INDIRECT("R"&amp;$AA38&amp;"C"&amp;$T1+1,0))</f>
        <v>0</v>
      </c>
      <c r="X36" s="6">
        <f ca="1">SUMIF(INDIRECT("R"&amp;$R38&amp;"c2",0):INDIRECT("R"&amp;$R38&amp;"C"&amp;$T1+1,0),X35,INDIRECT("R"&amp;$S38&amp;"c2",0):INDIRECT("R"&amp;$S38&amp;"C"&amp;$T1+1,0))+SUMIF(INDIRECT("R"&amp;$T38&amp;"c2",0):INDIRECT("R"&amp;$T38&amp;"C"&amp;$T1+1,0),X35,INDIRECT("R"&amp;$U38&amp;"c2",0):INDIRECT("R"&amp;$U38&amp;"C"&amp;$T1+1,0))+SUMIF(INDIRECT("R"&amp;$V38&amp;"c2",0):INDIRECT("R"&amp;$V38&amp;"C"&amp;$T1+1,0),X35,INDIRECT("R"&amp;$W38&amp;"c2",0):INDIRECT("R"&amp;$W38&amp;"C"&amp;$T1+1,0))+SUMIF(INDIRECT("R"&amp;$X38&amp;"c2",0):INDIRECT("R"&amp;$X38&amp;"C"&amp;$T1+1,0),X35,INDIRECT("R"&amp;$Y38&amp;"c2",0):INDIRECT("R"&amp;$Y38&amp;"C"&amp;$T1+1,0))+SUMIF(INDIRECT("R"&amp;$Z38&amp;"c2",0):INDIRECT("R"&amp;$Z38&amp;"C"&amp;$T1+1,0),X35,INDIRECT("R"&amp;$AA38&amp;"c2",0):INDIRECT("R"&amp;$AA38&amp;"C"&amp;$T1+1,0))</f>
        <v>0</v>
      </c>
      <c r="Y36" s="6">
        <f ca="1">SUMIF(INDIRECT("R"&amp;$R38&amp;"c2",0):INDIRECT("R"&amp;$R38&amp;"C"&amp;$T1+1,0),Y35,INDIRECT("R"&amp;$S38&amp;"c2",0):INDIRECT("R"&amp;$S38&amp;"C"&amp;$T1+1,0))+SUMIF(INDIRECT("R"&amp;$T38&amp;"c2",0):INDIRECT("R"&amp;$T38&amp;"C"&amp;$T1+1,0),Y35,INDIRECT("R"&amp;$U38&amp;"c2",0):INDIRECT("R"&amp;$U38&amp;"C"&amp;$T1+1,0))+SUMIF(INDIRECT("R"&amp;$V38&amp;"c2",0):INDIRECT("R"&amp;$V38&amp;"C"&amp;$T1+1,0),Y35,INDIRECT("R"&amp;$W38&amp;"c2",0):INDIRECT("R"&amp;$W38&amp;"C"&amp;$T1+1,0))+SUMIF(INDIRECT("R"&amp;$X38&amp;"c2",0):INDIRECT("R"&amp;$X38&amp;"C"&amp;$T1+1,0),Y35,INDIRECT("R"&amp;$Y38&amp;"c2",0):INDIRECT("R"&amp;$Y38&amp;"C"&amp;$T1+1,0))+SUMIF(INDIRECT("R"&amp;$Z38&amp;"c2",0):INDIRECT("R"&amp;$Z38&amp;"C"&amp;$T1+1,0),Y35,INDIRECT("R"&amp;$AA38&amp;"c2",0):INDIRECT("R"&amp;$AA38&amp;"C"&amp;$T1+1,0))</f>
        <v>0</v>
      </c>
      <c r="Z36" s="6">
        <f ca="1">SUMIF(INDIRECT("R"&amp;$R38&amp;"c2",0):INDIRECT("R"&amp;$R38&amp;"C"&amp;$T1+1,0),Z35,INDIRECT("R"&amp;$S38&amp;"c2",0):INDIRECT("R"&amp;$S38&amp;"C"&amp;$T1+1,0))+SUMIF(INDIRECT("R"&amp;$T38&amp;"c2",0):INDIRECT("R"&amp;$T38&amp;"C"&amp;$T1+1,0),Z35,INDIRECT("R"&amp;$U38&amp;"c2",0):INDIRECT("R"&amp;$U38&amp;"C"&amp;$T1+1,0))+SUMIF(INDIRECT("R"&amp;$V38&amp;"c2",0):INDIRECT("R"&amp;$V38&amp;"C"&amp;$T1+1,0),Z35,INDIRECT("R"&amp;$W38&amp;"c2",0):INDIRECT("R"&amp;$W38&amp;"C"&amp;$T1+1,0))+SUMIF(INDIRECT("R"&amp;$X38&amp;"c2",0):INDIRECT("R"&amp;$X38&amp;"C"&amp;$T1+1,0),Z35,INDIRECT("R"&amp;$Y38&amp;"c2",0):INDIRECT("R"&amp;$Y38&amp;"C"&amp;$T1+1,0))+SUMIF(INDIRECT("R"&amp;$Z38&amp;"c2",0):INDIRECT("R"&amp;$Z38&amp;"C"&amp;$T1+1,0),Z35,INDIRECT("R"&amp;$AA38&amp;"c2",0):INDIRECT("R"&amp;$AA38&amp;"C"&amp;$T1+1,0))</f>
        <v>0</v>
      </c>
      <c r="AA36" s="6">
        <f ca="1">SUMIF(INDIRECT("R"&amp;$R38&amp;"c2",0):INDIRECT("R"&amp;$R38&amp;"C"&amp;$T1+1,0),AA35,INDIRECT("R"&amp;$S38&amp;"c2",0):INDIRECT("R"&amp;$S38&amp;"C"&amp;$T1+1,0))+SUMIF(INDIRECT("R"&amp;$T38&amp;"c2",0):INDIRECT("R"&amp;$T38&amp;"C"&amp;$T1+1,0),AA35,INDIRECT("R"&amp;$U38&amp;"c2",0):INDIRECT("R"&amp;$U38&amp;"C"&amp;$T1+1,0))+SUMIF(INDIRECT("R"&amp;$V38&amp;"c2",0):INDIRECT("R"&amp;$V38&amp;"C"&amp;$T1+1,0),AA35,INDIRECT("R"&amp;$W38&amp;"c2",0):INDIRECT("R"&amp;$W38&amp;"C"&amp;$T1+1,0))+SUMIF(INDIRECT("R"&amp;$X38&amp;"c2",0):INDIRECT("R"&amp;$X38&amp;"C"&amp;$T1+1,0),AA35,INDIRECT("R"&amp;$Y38&amp;"c2",0):INDIRECT("R"&amp;$Y38&amp;"C"&amp;$T1+1,0))+SUMIF(INDIRECT("R"&amp;$Z38&amp;"c2",0):INDIRECT("R"&amp;$Z38&amp;"C"&amp;$T1+1,0),AA35,INDIRECT("R"&amp;$AA38&amp;"c2",0):INDIRECT("R"&amp;$AA38&amp;"C"&amp;$T1+1,0))</f>
        <v>0</v>
      </c>
      <c r="AB36" s="6">
        <f ca="1">SUMIF(INDIRECT("R"&amp;$R38&amp;"c2",0):INDIRECT("R"&amp;$R38&amp;"C"&amp;$T1+1,0),AB35,INDIRECT("R"&amp;$S38&amp;"c2",0):INDIRECT("R"&amp;$S38&amp;"C"&amp;$T1+1,0))+SUMIF(INDIRECT("R"&amp;$T38&amp;"c2",0):INDIRECT("R"&amp;$T38&amp;"C"&amp;$T1+1,0),AB35,INDIRECT("R"&amp;$U38&amp;"c2",0):INDIRECT("R"&amp;$U38&amp;"C"&amp;$T1+1,0))+SUMIF(INDIRECT("R"&amp;$V38&amp;"c2",0):INDIRECT("R"&amp;$V38&amp;"C"&amp;$T1+1,0),AB35,INDIRECT("R"&amp;$W38&amp;"c2",0):INDIRECT("R"&amp;$W38&amp;"C"&amp;$T1+1,0))+SUMIF(INDIRECT("R"&amp;$X38&amp;"c2",0):INDIRECT("R"&amp;$X38&amp;"C"&amp;$T1+1,0),AB35,INDIRECT("R"&amp;$Y38&amp;"c2",0):INDIRECT("R"&amp;$Y38&amp;"C"&amp;$T1+1,0))+SUMIF(INDIRECT("R"&amp;$Z38&amp;"c2",0):INDIRECT("R"&amp;$Z38&amp;"C"&amp;$T1+1,0),AB35,INDIRECT("R"&amp;$AA38&amp;"c2",0):INDIRECT("R"&amp;$AA38&amp;"C"&amp;$T1+1,0))</f>
        <v>0</v>
      </c>
      <c r="AC36" s="6">
        <f ca="1">SUMIF(INDIRECT("R"&amp;$R38&amp;"c2",0):INDIRECT("R"&amp;$R38&amp;"C"&amp;$T1+1,0),AC35,INDIRECT("R"&amp;$S38&amp;"c2",0):INDIRECT("R"&amp;$S38&amp;"C"&amp;$T1+1,0))+SUMIF(INDIRECT("R"&amp;$T38&amp;"c2",0):INDIRECT("R"&amp;$T38&amp;"C"&amp;$T1+1,0),AC35,INDIRECT("R"&amp;$U38&amp;"c2",0):INDIRECT("R"&amp;$U38&amp;"C"&amp;$T1+1,0))+SUMIF(INDIRECT("R"&amp;$V38&amp;"c2",0):INDIRECT("R"&amp;$V38&amp;"C"&amp;$T1+1,0),AC35,INDIRECT("R"&amp;$W38&amp;"c2",0):INDIRECT("R"&amp;$W38&amp;"C"&amp;$T1+1,0))+SUMIF(INDIRECT("R"&amp;$X38&amp;"c2",0):INDIRECT("R"&amp;$X38&amp;"C"&amp;$T1+1,0),AC35,INDIRECT("R"&amp;$Y38&amp;"c2",0):INDIRECT("R"&amp;$Y38&amp;"C"&amp;$T1+1,0))+SUMIF(INDIRECT("R"&amp;$Z38&amp;"c2",0):INDIRECT("R"&amp;$Z38&amp;"C"&amp;$T1+1,0),AC35,INDIRECT("R"&amp;$AA38&amp;"c2",0):INDIRECT("R"&amp;$AA38&amp;"C"&amp;$T1+1,0))</f>
        <v>0</v>
      </c>
      <c r="AD36" s="6">
        <f ca="1">SUMIF(INDIRECT("R"&amp;$R38&amp;"c2",0):INDIRECT("R"&amp;$R38&amp;"C"&amp;$T1+1,0),AD35,INDIRECT("R"&amp;$S38&amp;"c2",0):INDIRECT("R"&amp;$S38&amp;"C"&amp;$T1+1,0))+SUMIF(INDIRECT("R"&amp;$T38&amp;"c2",0):INDIRECT("R"&amp;$T38&amp;"C"&amp;$T1+1,0),AD35,INDIRECT("R"&amp;$U38&amp;"c2",0):INDIRECT("R"&amp;$U38&amp;"C"&amp;$T1+1,0))+SUMIF(INDIRECT("R"&amp;$V38&amp;"c2",0):INDIRECT("R"&amp;$V38&amp;"C"&amp;$T1+1,0),AD35,INDIRECT("R"&amp;$W38&amp;"c2",0):INDIRECT("R"&amp;$W38&amp;"C"&amp;$T1+1,0))+SUMIF(INDIRECT("R"&amp;$X38&amp;"c2",0):INDIRECT("R"&amp;$X38&amp;"C"&amp;$T1+1,0),AD35,INDIRECT("R"&amp;$Y38&amp;"c2",0):INDIRECT("R"&amp;$Y38&amp;"C"&amp;$T1+1,0))+SUMIF(INDIRECT("R"&amp;$Z38&amp;"c2",0):INDIRECT("R"&amp;$Z38&amp;"C"&amp;$T1+1,0),AD35,INDIRECT("R"&amp;$AA38&amp;"c2",0):INDIRECT("R"&amp;$AA38&amp;"C"&amp;$T1+1,0))</f>
        <v>0</v>
      </c>
      <c r="AE36" s="6">
        <f ca="1">SUMIF(INDIRECT("R"&amp;$R38&amp;"c2",0):INDIRECT("R"&amp;$R38&amp;"C"&amp;$T1+1,0),AE35,INDIRECT("R"&amp;$S38&amp;"c2",0):INDIRECT("R"&amp;$S38&amp;"C"&amp;$T1+1,0))+SUMIF(INDIRECT("R"&amp;$T38&amp;"c2",0):INDIRECT("R"&amp;$T38&amp;"C"&amp;$T1+1,0),AE35,INDIRECT("R"&amp;$U38&amp;"c2",0):INDIRECT("R"&amp;$U38&amp;"C"&amp;$T1+1,0))+SUMIF(INDIRECT("R"&amp;$V38&amp;"c2",0):INDIRECT("R"&amp;$V38&amp;"C"&amp;$T1+1,0),AE35,INDIRECT("R"&amp;$W38&amp;"c2",0):INDIRECT("R"&amp;$W38&amp;"C"&amp;$T1+1,0))+SUMIF(INDIRECT("R"&amp;$X38&amp;"c2",0):INDIRECT("R"&amp;$X38&amp;"C"&amp;$T1+1,0),AE35,INDIRECT("R"&amp;$Y38&amp;"c2",0):INDIRECT("R"&amp;$Y38&amp;"C"&amp;$T1+1,0))+SUMIF(INDIRECT("R"&amp;$Z38&amp;"c2",0):INDIRECT("R"&amp;$Z38&amp;"C"&amp;$T1+1,0),AE35,INDIRECT("R"&amp;$AA38&amp;"c2",0):INDIRECT("R"&amp;$AA38&amp;"C"&amp;$T1+1,0))</f>
        <v>0</v>
      </c>
    </row>
    <row r="37" spans="1:231" x14ac:dyDescent="0.25">
      <c r="A37" s="16"/>
      <c r="B37" s="6">
        <f ca="1">SUM(INDIRECT("r"&amp;B38&amp;"C2",0):INDIRECT("r"&amp;B38&amp;"c"&amp;$T1+1,0))</f>
        <v>12</v>
      </c>
      <c r="C37" s="6">
        <f ca="1">SUM(INDIRECT("r"&amp;C38&amp;"C2",0):INDIRECT("r"&amp;C38&amp;"c"&amp;$T1+1,0))</f>
        <v>23</v>
      </c>
      <c r="D37" s="6">
        <f ca="1">SUM(INDIRECT("r"&amp;D38&amp;"C2",0):INDIRECT("r"&amp;D38&amp;"c"&amp;$T1+1,0))</f>
        <v>1</v>
      </c>
      <c r="E37" s="6">
        <f ca="1">SUM(INDIRECT("r"&amp;E38&amp;"C2",0):INDIRECT("r"&amp;E38&amp;"c"&amp;$T1+1,0))</f>
        <v>1</v>
      </c>
    </row>
    <row r="38" spans="1:231" hidden="1" x14ac:dyDescent="0.25">
      <c r="A38" t="s">
        <v>40</v>
      </c>
      <c r="B38">
        <v>8</v>
      </c>
      <c r="C38">
        <f>B38+1</f>
        <v>9</v>
      </c>
      <c r="D38">
        <f>C38+1</f>
        <v>10</v>
      </c>
      <c r="E38">
        <f t="shared" ref="E38:P38" si="9">D38+1</f>
        <v>11</v>
      </c>
      <c r="F38">
        <f t="shared" si="9"/>
        <v>12</v>
      </c>
      <c r="G38">
        <f t="shared" si="9"/>
        <v>13</v>
      </c>
      <c r="H38">
        <f t="shared" si="9"/>
        <v>14</v>
      </c>
      <c r="I38">
        <f t="shared" si="9"/>
        <v>15</v>
      </c>
      <c r="J38">
        <f t="shared" si="9"/>
        <v>16</v>
      </c>
      <c r="K38">
        <f t="shared" si="9"/>
        <v>17</v>
      </c>
      <c r="L38">
        <f t="shared" si="9"/>
        <v>18</v>
      </c>
      <c r="M38">
        <f t="shared" si="9"/>
        <v>19</v>
      </c>
      <c r="N38">
        <f t="shared" si="9"/>
        <v>20</v>
      </c>
      <c r="O38">
        <f t="shared" si="9"/>
        <v>21</v>
      </c>
      <c r="P38">
        <f t="shared" si="9"/>
        <v>22</v>
      </c>
      <c r="Q38">
        <f t="shared" ref="Q38:V38" si="10">P38+1</f>
        <v>23</v>
      </c>
      <c r="R38">
        <f t="shared" si="10"/>
        <v>24</v>
      </c>
      <c r="S38">
        <f t="shared" si="10"/>
        <v>25</v>
      </c>
      <c r="T38">
        <f t="shared" si="10"/>
        <v>26</v>
      </c>
      <c r="U38">
        <f t="shared" si="10"/>
        <v>27</v>
      </c>
      <c r="V38">
        <f t="shared" si="10"/>
        <v>28</v>
      </c>
      <c r="W38">
        <f t="shared" ref="W38:AE38" si="11">V38+1</f>
        <v>29</v>
      </c>
      <c r="X38">
        <f t="shared" si="11"/>
        <v>30</v>
      </c>
      <c r="Y38">
        <f t="shared" si="11"/>
        <v>31</v>
      </c>
      <c r="Z38">
        <f t="shared" si="11"/>
        <v>32</v>
      </c>
      <c r="AA38">
        <f t="shared" si="11"/>
        <v>33</v>
      </c>
      <c r="AB38">
        <f t="shared" si="11"/>
        <v>34</v>
      </c>
      <c r="AC38">
        <f t="shared" si="11"/>
        <v>35</v>
      </c>
      <c r="AD38">
        <f t="shared" si="11"/>
        <v>36</v>
      </c>
      <c r="AE38">
        <f t="shared" si="11"/>
        <v>37</v>
      </c>
    </row>
    <row r="39" spans="1:231" hidden="1" x14ac:dyDescent="0.25"/>
    <row r="40" spans="1:231" hidden="1" x14ac:dyDescent="0.25"/>
    <row r="41" spans="1:231" hidden="1" x14ac:dyDescent="0.25">
      <c r="A41" t="str">
        <f>TRIM(SUBSTITUTE(A3,"*",""))</f>
        <v>玩家</v>
      </c>
      <c r="B41" t="str">
        <f t="shared" ref="B41:BM41" si="12">TRIM(SUBSTITUTE(B3,"*",""))</f>
        <v>张三</v>
      </c>
      <c r="C41" t="str">
        <f t="shared" si="12"/>
        <v>张三</v>
      </c>
      <c r="D41" t="str">
        <f t="shared" si="12"/>
        <v>张三</v>
      </c>
      <c r="E41" t="str">
        <f t="shared" si="12"/>
        <v>张三</v>
      </c>
      <c r="F41" t="str">
        <f t="shared" si="12"/>
        <v>张三</v>
      </c>
      <c r="G41" t="str">
        <f t="shared" si="12"/>
        <v>李四</v>
      </c>
      <c r="H41" t="str">
        <f t="shared" si="12"/>
        <v>李四</v>
      </c>
      <c r="I41" t="str">
        <f t="shared" si="12"/>
        <v>李四</v>
      </c>
      <c r="J41" t="str">
        <f t="shared" si="12"/>
        <v>李四</v>
      </c>
      <c r="K41" t="str">
        <f t="shared" si="12"/>
        <v>李四</v>
      </c>
      <c r="L41" t="str">
        <f t="shared" si="12"/>
        <v>王二麻</v>
      </c>
      <c r="M41" t="str">
        <f t="shared" si="12"/>
        <v>王二麻</v>
      </c>
      <c r="N41" t="str">
        <f t="shared" si="12"/>
        <v>王二麻</v>
      </c>
      <c r="O41" t="str">
        <f t="shared" si="12"/>
        <v>王二麻</v>
      </c>
      <c r="P41" t="str">
        <f t="shared" si="12"/>
        <v>王二麻</v>
      </c>
      <c r="Q41" t="str">
        <f t="shared" si="12"/>
        <v>111</v>
      </c>
      <c r="R41" t="str">
        <f t="shared" si="12"/>
        <v>111</v>
      </c>
      <c r="S41" t="str">
        <f t="shared" si="12"/>
        <v>111</v>
      </c>
      <c r="T41" t="str">
        <f t="shared" si="12"/>
        <v>222</v>
      </c>
      <c r="U41" t="str">
        <f t="shared" si="12"/>
        <v>333</v>
      </c>
      <c r="V41" t="str">
        <f t="shared" si="12"/>
        <v/>
      </c>
      <c r="W41" t="str">
        <f t="shared" si="12"/>
        <v/>
      </c>
      <c r="X41" t="str">
        <f t="shared" si="12"/>
        <v/>
      </c>
      <c r="Y41" t="str">
        <f t="shared" si="12"/>
        <v/>
      </c>
      <c r="Z41" t="str">
        <f t="shared" si="12"/>
        <v/>
      </c>
      <c r="AA41" t="str">
        <f t="shared" si="12"/>
        <v/>
      </c>
      <c r="AB41" t="str">
        <f t="shared" si="12"/>
        <v/>
      </c>
      <c r="AC41" t="str">
        <f t="shared" si="12"/>
        <v/>
      </c>
      <c r="AD41" t="str">
        <f t="shared" si="12"/>
        <v/>
      </c>
      <c r="AE41" t="str">
        <f t="shared" si="12"/>
        <v/>
      </c>
      <c r="AF41" t="str">
        <f t="shared" si="12"/>
        <v/>
      </c>
      <c r="AG41" t="str">
        <f t="shared" si="12"/>
        <v/>
      </c>
      <c r="AH41" t="str">
        <f t="shared" si="12"/>
        <v/>
      </c>
      <c r="AI41" t="str">
        <f t="shared" si="12"/>
        <v/>
      </c>
      <c r="AJ41" t="str">
        <f t="shared" si="12"/>
        <v/>
      </c>
      <c r="AK41" t="str">
        <f t="shared" si="12"/>
        <v/>
      </c>
      <c r="AL41" t="str">
        <f t="shared" si="12"/>
        <v/>
      </c>
      <c r="AM41" t="str">
        <f t="shared" si="12"/>
        <v/>
      </c>
      <c r="AN41" t="str">
        <f t="shared" si="12"/>
        <v/>
      </c>
      <c r="AO41" t="str">
        <f t="shared" si="12"/>
        <v/>
      </c>
      <c r="AP41" t="str">
        <f t="shared" si="12"/>
        <v/>
      </c>
      <c r="AQ41" t="str">
        <f t="shared" si="12"/>
        <v/>
      </c>
      <c r="AR41" t="str">
        <f t="shared" si="12"/>
        <v/>
      </c>
      <c r="AS41" t="str">
        <f t="shared" si="12"/>
        <v/>
      </c>
      <c r="AT41" t="str">
        <f t="shared" si="12"/>
        <v/>
      </c>
      <c r="AU41" t="str">
        <f t="shared" si="12"/>
        <v/>
      </c>
      <c r="AV41" t="str">
        <f t="shared" si="12"/>
        <v/>
      </c>
      <c r="AW41" t="str">
        <f t="shared" si="12"/>
        <v/>
      </c>
      <c r="AX41" t="str">
        <f t="shared" si="12"/>
        <v/>
      </c>
      <c r="AY41" t="str">
        <f t="shared" si="12"/>
        <v/>
      </c>
      <c r="AZ41" t="str">
        <f t="shared" si="12"/>
        <v/>
      </c>
      <c r="BA41" t="str">
        <f t="shared" si="12"/>
        <v/>
      </c>
      <c r="BB41" t="str">
        <f t="shared" si="12"/>
        <v/>
      </c>
      <c r="BC41" t="str">
        <f t="shared" si="12"/>
        <v/>
      </c>
      <c r="BD41" t="str">
        <f t="shared" si="12"/>
        <v/>
      </c>
      <c r="BE41" t="str">
        <f t="shared" si="12"/>
        <v/>
      </c>
      <c r="BF41" t="str">
        <f t="shared" si="12"/>
        <v/>
      </c>
      <c r="BG41" t="str">
        <f t="shared" si="12"/>
        <v/>
      </c>
      <c r="BH41" t="str">
        <f t="shared" si="12"/>
        <v/>
      </c>
      <c r="BI41" t="str">
        <f t="shared" si="12"/>
        <v/>
      </c>
      <c r="BJ41" t="str">
        <f t="shared" si="12"/>
        <v/>
      </c>
      <c r="BK41" t="str">
        <f t="shared" si="12"/>
        <v/>
      </c>
      <c r="BL41" t="str">
        <f t="shared" si="12"/>
        <v/>
      </c>
      <c r="BM41" t="str">
        <f t="shared" si="12"/>
        <v/>
      </c>
      <c r="BN41" t="str">
        <f t="shared" ref="BN41:DY41" si="13">TRIM(SUBSTITUTE(BN3,"*",""))</f>
        <v/>
      </c>
      <c r="BO41" t="str">
        <f t="shared" si="13"/>
        <v/>
      </c>
      <c r="BP41" t="str">
        <f t="shared" si="13"/>
        <v/>
      </c>
      <c r="BQ41" t="str">
        <f t="shared" si="13"/>
        <v/>
      </c>
      <c r="BR41" t="str">
        <f t="shared" si="13"/>
        <v/>
      </c>
      <c r="BS41" t="str">
        <f t="shared" si="13"/>
        <v/>
      </c>
      <c r="BT41" t="str">
        <f t="shared" si="13"/>
        <v/>
      </c>
      <c r="BU41" t="str">
        <f t="shared" si="13"/>
        <v/>
      </c>
      <c r="BV41" t="str">
        <f t="shared" si="13"/>
        <v/>
      </c>
      <c r="BW41" t="str">
        <f t="shared" si="13"/>
        <v/>
      </c>
      <c r="BX41" t="str">
        <f t="shared" si="13"/>
        <v/>
      </c>
      <c r="BY41" t="str">
        <f t="shared" si="13"/>
        <v/>
      </c>
      <c r="BZ41" t="str">
        <f t="shared" si="13"/>
        <v/>
      </c>
      <c r="CA41" t="str">
        <f t="shared" si="13"/>
        <v/>
      </c>
      <c r="CB41" t="str">
        <f t="shared" si="13"/>
        <v/>
      </c>
      <c r="CC41" t="str">
        <f t="shared" si="13"/>
        <v/>
      </c>
      <c r="CD41" t="str">
        <f t="shared" si="13"/>
        <v/>
      </c>
      <c r="CE41" t="str">
        <f t="shared" si="13"/>
        <v/>
      </c>
      <c r="CF41" t="str">
        <f t="shared" si="13"/>
        <v/>
      </c>
      <c r="CG41" t="str">
        <f t="shared" si="13"/>
        <v/>
      </c>
      <c r="CH41" t="str">
        <f t="shared" si="13"/>
        <v/>
      </c>
      <c r="CI41" t="str">
        <f t="shared" si="13"/>
        <v/>
      </c>
      <c r="CJ41" t="str">
        <f t="shared" si="13"/>
        <v/>
      </c>
      <c r="CK41" t="str">
        <f t="shared" si="13"/>
        <v/>
      </c>
      <c r="CL41" t="str">
        <f t="shared" si="13"/>
        <v/>
      </c>
      <c r="CM41" t="str">
        <f t="shared" si="13"/>
        <v/>
      </c>
      <c r="CN41" t="str">
        <f t="shared" si="13"/>
        <v/>
      </c>
      <c r="CO41" t="str">
        <f t="shared" si="13"/>
        <v/>
      </c>
      <c r="CP41" t="str">
        <f t="shared" si="13"/>
        <v/>
      </c>
      <c r="CQ41" t="str">
        <f t="shared" si="13"/>
        <v/>
      </c>
      <c r="CR41" t="str">
        <f t="shared" si="13"/>
        <v/>
      </c>
      <c r="CS41" t="str">
        <f t="shared" si="13"/>
        <v/>
      </c>
      <c r="CT41" t="str">
        <f t="shared" si="13"/>
        <v/>
      </c>
      <c r="CU41" t="str">
        <f t="shared" si="13"/>
        <v/>
      </c>
      <c r="CV41" t="str">
        <f t="shared" si="13"/>
        <v/>
      </c>
      <c r="CW41" t="str">
        <f t="shared" si="13"/>
        <v/>
      </c>
      <c r="CX41" t="str">
        <f t="shared" si="13"/>
        <v/>
      </c>
      <c r="CY41" t="str">
        <f t="shared" si="13"/>
        <v/>
      </c>
      <c r="CZ41" t="str">
        <f t="shared" si="13"/>
        <v/>
      </c>
      <c r="DA41" t="str">
        <f t="shared" si="13"/>
        <v/>
      </c>
      <c r="DB41" t="str">
        <f t="shared" si="13"/>
        <v/>
      </c>
      <c r="DC41" t="str">
        <f t="shared" si="13"/>
        <v/>
      </c>
      <c r="DD41" t="str">
        <f t="shared" si="13"/>
        <v/>
      </c>
      <c r="DE41" t="str">
        <f t="shared" si="13"/>
        <v/>
      </c>
      <c r="DF41" t="str">
        <f t="shared" si="13"/>
        <v/>
      </c>
      <c r="DG41" t="str">
        <f t="shared" si="13"/>
        <v/>
      </c>
      <c r="DH41" t="str">
        <f t="shared" si="13"/>
        <v/>
      </c>
      <c r="DI41" t="str">
        <f t="shared" si="13"/>
        <v/>
      </c>
      <c r="DJ41" t="str">
        <f t="shared" si="13"/>
        <v/>
      </c>
      <c r="DK41" t="str">
        <f t="shared" si="13"/>
        <v/>
      </c>
      <c r="DL41" t="str">
        <f t="shared" si="13"/>
        <v/>
      </c>
      <c r="DM41" t="str">
        <f t="shared" si="13"/>
        <v/>
      </c>
      <c r="DN41" t="str">
        <f t="shared" si="13"/>
        <v/>
      </c>
      <c r="DO41" t="str">
        <f t="shared" si="13"/>
        <v/>
      </c>
      <c r="DP41" t="str">
        <f t="shared" si="13"/>
        <v/>
      </c>
      <c r="DQ41" t="str">
        <f t="shared" si="13"/>
        <v/>
      </c>
      <c r="DR41" t="str">
        <f t="shared" si="13"/>
        <v/>
      </c>
      <c r="DS41" t="str">
        <f t="shared" si="13"/>
        <v/>
      </c>
      <c r="DT41" t="str">
        <f t="shared" si="13"/>
        <v/>
      </c>
      <c r="DU41" t="str">
        <f t="shared" si="13"/>
        <v/>
      </c>
      <c r="DV41" t="str">
        <f t="shared" si="13"/>
        <v/>
      </c>
      <c r="DW41" t="str">
        <f t="shared" si="13"/>
        <v/>
      </c>
      <c r="DX41" t="str">
        <f t="shared" si="13"/>
        <v/>
      </c>
      <c r="DY41" t="str">
        <f t="shared" si="13"/>
        <v/>
      </c>
      <c r="DZ41" t="str">
        <f t="shared" ref="DZ41:GK41" si="14">TRIM(SUBSTITUTE(DZ3,"*",""))</f>
        <v/>
      </c>
      <c r="EA41" t="str">
        <f t="shared" si="14"/>
        <v/>
      </c>
      <c r="EB41" t="str">
        <f t="shared" si="14"/>
        <v/>
      </c>
      <c r="EC41" t="str">
        <f t="shared" si="14"/>
        <v/>
      </c>
      <c r="ED41" t="str">
        <f t="shared" si="14"/>
        <v/>
      </c>
      <c r="EE41" t="str">
        <f t="shared" si="14"/>
        <v/>
      </c>
      <c r="EF41" t="str">
        <f t="shared" si="14"/>
        <v/>
      </c>
      <c r="EG41" t="str">
        <f t="shared" si="14"/>
        <v/>
      </c>
      <c r="EH41" t="str">
        <f t="shared" si="14"/>
        <v/>
      </c>
      <c r="EI41" t="str">
        <f t="shared" si="14"/>
        <v/>
      </c>
      <c r="EJ41" t="str">
        <f t="shared" si="14"/>
        <v/>
      </c>
      <c r="EK41" t="str">
        <f t="shared" si="14"/>
        <v/>
      </c>
      <c r="EL41" t="str">
        <f t="shared" si="14"/>
        <v/>
      </c>
      <c r="EM41" t="str">
        <f t="shared" si="14"/>
        <v/>
      </c>
      <c r="EN41" t="str">
        <f t="shared" si="14"/>
        <v/>
      </c>
      <c r="EO41" t="str">
        <f t="shared" si="14"/>
        <v/>
      </c>
      <c r="EP41" t="str">
        <f t="shared" si="14"/>
        <v/>
      </c>
      <c r="EQ41" t="str">
        <f t="shared" si="14"/>
        <v/>
      </c>
      <c r="ER41" t="str">
        <f t="shared" si="14"/>
        <v/>
      </c>
      <c r="ES41" t="str">
        <f t="shared" si="14"/>
        <v/>
      </c>
      <c r="ET41" t="str">
        <f t="shared" si="14"/>
        <v/>
      </c>
      <c r="EU41" t="str">
        <f t="shared" si="14"/>
        <v/>
      </c>
      <c r="EV41" t="str">
        <f t="shared" si="14"/>
        <v/>
      </c>
      <c r="EW41" t="str">
        <f t="shared" si="14"/>
        <v/>
      </c>
      <c r="EX41" t="str">
        <f t="shared" si="14"/>
        <v/>
      </c>
      <c r="EY41" t="str">
        <f t="shared" si="14"/>
        <v/>
      </c>
      <c r="EZ41" t="str">
        <f t="shared" si="14"/>
        <v/>
      </c>
      <c r="FA41" t="str">
        <f t="shared" si="14"/>
        <v/>
      </c>
      <c r="FB41" t="str">
        <f t="shared" si="14"/>
        <v/>
      </c>
      <c r="FC41" t="str">
        <f t="shared" si="14"/>
        <v/>
      </c>
      <c r="FD41" t="str">
        <f t="shared" si="14"/>
        <v/>
      </c>
      <c r="FE41" t="str">
        <f t="shared" si="14"/>
        <v/>
      </c>
      <c r="FF41" t="str">
        <f t="shared" si="14"/>
        <v/>
      </c>
      <c r="FG41" t="str">
        <f t="shared" si="14"/>
        <v/>
      </c>
      <c r="FH41" t="str">
        <f t="shared" si="14"/>
        <v/>
      </c>
      <c r="FI41" t="str">
        <f t="shared" si="14"/>
        <v/>
      </c>
      <c r="FJ41" t="str">
        <f t="shared" si="14"/>
        <v/>
      </c>
      <c r="FK41" t="str">
        <f t="shared" si="14"/>
        <v/>
      </c>
      <c r="FL41" t="str">
        <f t="shared" si="14"/>
        <v/>
      </c>
      <c r="FM41" t="str">
        <f t="shared" si="14"/>
        <v/>
      </c>
      <c r="FN41" t="str">
        <f t="shared" si="14"/>
        <v/>
      </c>
      <c r="FO41" t="str">
        <f t="shared" si="14"/>
        <v/>
      </c>
      <c r="FP41" t="str">
        <f t="shared" si="14"/>
        <v/>
      </c>
      <c r="FQ41" t="str">
        <f t="shared" si="14"/>
        <v/>
      </c>
      <c r="FR41" t="str">
        <f t="shared" si="14"/>
        <v/>
      </c>
      <c r="FS41" t="str">
        <f t="shared" si="14"/>
        <v/>
      </c>
      <c r="FT41" t="str">
        <f t="shared" si="14"/>
        <v/>
      </c>
      <c r="FU41" t="str">
        <f t="shared" si="14"/>
        <v/>
      </c>
      <c r="FV41" t="str">
        <f t="shared" si="14"/>
        <v/>
      </c>
      <c r="FW41" t="str">
        <f t="shared" si="14"/>
        <v/>
      </c>
      <c r="FX41" t="str">
        <f t="shared" si="14"/>
        <v/>
      </c>
      <c r="FY41" t="str">
        <f t="shared" si="14"/>
        <v/>
      </c>
      <c r="FZ41" t="str">
        <f t="shared" si="14"/>
        <v/>
      </c>
      <c r="GA41" t="str">
        <f t="shared" si="14"/>
        <v/>
      </c>
      <c r="GB41" t="str">
        <f t="shared" si="14"/>
        <v/>
      </c>
      <c r="GC41" t="str">
        <f t="shared" si="14"/>
        <v/>
      </c>
      <c r="GD41" t="str">
        <f t="shared" si="14"/>
        <v/>
      </c>
      <c r="GE41" t="str">
        <f t="shared" si="14"/>
        <v/>
      </c>
      <c r="GF41" t="str">
        <f t="shared" si="14"/>
        <v/>
      </c>
      <c r="GG41" t="str">
        <f t="shared" si="14"/>
        <v/>
      </c>
      <c r="GH41" t="str">
        <f t="shared" si="14"/>
        <v/>
      </c>
      <c r="GI41" t="str">
        <f t="shared" si="14"/>
        <v/>
      </c>
      <c r="GJ41" t="str">
        <f t="shared" si="14"/>
        <v/>
      </c>
      <c r="GK41" t="str">
        <f t="shared" si="14"/>
        <v/>
      </c>
      <c r="GL41" t="str">
        <f t="shared" ref="GL41:HM41" si="15">TRIM(SUBSTITUTE(GL3,"*",""))</f>
        <v/>
      </c>
      <c r="GM41" t="str">
        <f t="shared" si="15"/>
        <v/>
      </c>
      <c r="GN41" t="str">
        <f t="shared" si="15"/>
        <v/>
      </c>
      <c r="GO41" t="str">
        <f t="shared" si="15"/>
        <v/>
      </c>
      <c r="GP41" t="str">
        <f t="shared" si="15"/>
        <v/>
      </c>
      <c r="GQ41" t="str">
        <f t="shared" si="15"/>
        <v/>
      </c>
      <c r="GR41" t="str">
        <f t="shared" si="15"/>
        <v/>
      </c>
      <c r="GS41" t="str">
        <f t="shared" si="15"/>
        <v/>
      </c>
      <c r="GT41" t="str">
        <f t="shared" si="15"/>
        <v/>
      </c>
      <c r="GU41" t="str">
        <f t="shared" si="15"/>
        <v/>
      </c>
      <c r="GV41" t="str">
        <f t="shared" si="15"/>
        <v/>
      </c>
      <c r="GW41" t="str">
        <f t="shared" si="15"/>
        <v/>
      </c>
      <c r="GX41" t="str">
        <f t="shared" si="15"/>
        <v/>
      </c>
      <c r="GY41" t="str">
        <f t="shared" si="15"/>
        <v/>
      </c>
      <c r="GZ41" t="str">
        <f t="shared" si="15"/>
        <v/>
      </c>
      <c r="HA41" t="str">
        <f t="shared" si="15"/>
        <v/>
      </c>
      <c r="HB41" t="str">
        <f t="shared" si="15"/>
        <v/>
      </c>
      <c r="HC41" t="str">
        <f t="shared" si="15"/>
        <v/>
      </c>
      <c r="HD41" t="str">
        <f t="shared" si="15"/>
        <v/>
      </c>
      <c r="HE41" t="str">
        <f t="shared" si="15"/>
        <v/>
      </c>
      <c r="HF41" t="str">
        <f t="shared" si="15"/>
        <v/>
      </c>
      <c r="HG41" t="str">
        <f t="shared" si="15"/>
        <v/>
      </c>
      <c r="HH41" t="str">
        <f t="shared" si="15"/>
        <v/>
      </c>
      <c r="HI41" t="str">
        <f t="shared" si="15"/>
        <v/>
      </c>
      <c r="HJ41" t="str">
        <f t="shared" si="15"/>
        <v/>
      </c>
      <c r="HK41" t="str">
        <f t="shared" si="15"/>
        <v/>
      </c>
      <c r="HL41" t="str">
        <f t="shared" si="15"/>
        <v/>
      </c>
      <c r="HM41" t="str">
        <f t="shared" si="15"/>
        <v/>
      </c>
    </row>
    <row r="42" spans="1:231" hidden="1" x14ac:dyDescent="0.25">
      <c r="A42" s="29" t="s">
        <v>67</v>
      </c>
      <c r="B42" t="str">
        <f>IF(B41="","",IF(COUNTIF($A41:A41,B41)=0,B41,"有"))</f>
        <v>张三</v>
      </c>
      <c r="C42" t="str">
        <f>IF(C41="","",IF(COUNTIF($A41:B41,C41)=0,C41,"有"))</f>
        <v>有</v>
      </c>
      <c r="D42" t="str">
        <f>IF(D41="","",IF(COUNTIF($A41:C41,D41)=0,D41,"有"))</f>
        <v>有</v>
      </c>
      <c r="E42" t="str">
        <f>IF(E41="","",IF(COUNTIF($A41:D41,E41)=0,E41,"有"))</f>
        <v>有</v>
      </c>
      <c r="F42" t="str">
        <f>IF(F41="","",IF(COUNTIF($A41:E41,F41)=0,F41,"有"))</f>
        <v>有</v>
      </c>
      <c r="G42" t="str">
        <f>IF(G41="","",IF(COUNTIF($A41:F41,G41)=0,G41,"有"))</f>
        <v>李四</v>
      </c>
      <c r="H42" t="str">
        <f>IF(H41="","",IF(COUNTIF($A41:G41,H41)=0,H41,"有"))</f>
        <v>有</v>
      </c>
      <c r="I42" t="str">
        <f>IF(I41="","",IF(COUNTIF($A41:H41,I41)=0,I41,"有"))</f>
        <v>有</v>
      </c>
      <c r="J42" t="str">
        <f>IF(J41="","",IF(COUNTIF($A41:I41,J41)=0,J41,"有"))</f>
        <v>有</v>
      </c>
      <c r="K42" t="str">
        <f>IF(K41="","",IF(COUNTIF($A41:J41,K41)=0,K41,"有"))</f>
        <v>有</v>
      </c>
      <c r="L42" t="str">
        <f>IF(L41="","",IF(COUNTIF($A41:K41,L41)=0,L41,"有"))</f>
        <v>王二麻</v>
      </c>
      <c r="M42" t="str">
        <f>IF(M41="","",IF(COUNTIF($A41:L41,M41)=0,M41,"有"))</f>
        <v>有</v>
      </c>
      <c r="N42" t="str">
        <f>IF(N41="","",IF(COUNTIF($A41:M41,N41)=0,N41,"有"))</f>
        <v>有</v>
      </c>
      <c r="O42" t="str">
        <f>IF(O41="","",IF(COUNTIF($A41:N41,O41)=0,O41,"有"))</f>
        <v>有</v>
      </c>
      <c r="P42" t="str">
        <f>IF(P41="","",IF(COUNTIF($A41:O41,P41)=0,P41,"有"))</f>
        <v>有</v>
      </c>
      <c r="Q42" t="str">
        <f>IF(Q41="","",IF(COUNTIF($A41:P41,Q41)=0,Q41,"有"))</f>
        <v>111</v>
      </c>
      <c r="R42" t="str">
        <f>IF(R41="","",IF(COUNTIF($A41:Q41,R41)=0,R41,"有"))</f>
        <v>有</v>
      </c>
      <c r="S42" t="str">
        <f>IF(S41="","",IF(COUNTIF($A41:R41,S41)=0,S41,"有"))</f>
        <v>有</v>
      </c>
      <c r="T42" t="str">
        <f>IF(T41="","",IF(COUNTIF($A41:S41,T41)=0,T41,"有"))</f>
        <v>222</v>
      </c>
      <c r="U42" t="str">
        <f>IF(U41="","",IF(COUNTIF($A41:T41,U41)=0,U41,"有"))</f>
        <v>333</v>
      </c>
      <c r="V42" t="str">
        <f>IF(V41="","",IF(COUNTIF($A41:U41,V41)=0,V41,"有"))</f>
        <v/>
      </c>
      <c r="W42" t="str">
        <f>IF(W41="","",IF(COUNTIF($A41:V41,W41)=0,W41,"有"))</f>
        <v/>
      </c>
      <c r="X42" t="str">
        <f>IF(X41="","",IF(COUNTIF($A41:W41,X41)=0,X41,"有"))</f>
        <v/>
      </c>
      <c r="Y42" t="str">
        <f>IF(Y41="","",IF(COUNTIF($A41:X41,Y41)=0,Y41,"有"))</f>
        <v/>
      </c>
      <c r="Z42" t="str">
        <f>IF(Z41="","",IF(COUNTIF($A41:Y41,Z41)=0,Z41,"有"))</f>
        <v/>
      </c>
      <c r="AA42" t="str">
        <f>IF(AA41="","",IF(COUNTIF($A41:Z41,AA41)=0,AA41,"有"))</f>
        <v/>
      </c>
      <c r="AB42" t="str">
        <f>IF(AB41="","",IF(COUNTIF($A41:AA41,AB41)=0,AB41,"有"))</f>
        <v/>
      </c>
      <c r="AC42" t="str">
        <f>IF(AC41="","",IF(COUNTIF($A41:AB41,AC41)=0,AC41,"有"))</f>
        <v/>
      </c>
      <c r="AD42" t="str">
        <f>IF(AD41="","",IF(COUNTIF($A41:AC41,AD41)=0,AD41,"有"))</f>
        <v/>
      </c>
      <c r="AE42" t="str">
        <f>IF(AE41="","",IF(COUNTIF($A41:AD41,AE41)=0,AE41,"有"))</f>
        <v/>
      </c>
      <c r="AF42" t="str">
        <f>IF(AF41="","",IF(COUNTIF($A41:AE41,AF41)=0,AF41,"有"))</f>
        <v/>
      </c>
      <c r="AG42" t="str">
        <f>IF(AG41="","",IF(COUNTIF($A41:AF41,AG41)=0,AG41,"有"))</f>
        <v/>
      </c>
      <c r="AH42" t="str">
        <f>IF(AH41="","",IF(COUNTIF($A41:AG41,AH41)=0,AH41,"有"))</f>
        <v/>
      </c>
      <c r="AI42" t="str">
        <f>IF(AI41="","",IF(COUNTIF($A41:AH41,AI41)=0,AI41,"有"))</f>
        <v/>
      </c>
      <c r="AJ42" t="str">
        <f>IF(AJ41="","",IF(COUNTIF($A41:AI41,AJ41)=0,AJ41,"有"))</f>
        <v/>
      </c>
      <c r="AK42" t="str">
        <f>IF(AK41="","",IF(COUNTIF($A41:AJ41,AK41)=0,AK41,"有"))</f>
        <v/>
      </c>
      <c r="AL42" t="str">
        <f>IF(AL41="","",IF(COUNTIF($A41:AK41,AL41)=0,AL41,"有"))</f>
        <v/>
      </c>
      <c r="AM42" t="str">
        <f>IF(AM41="","",IF(COUNTIF($A41:AL41,AM41)=0,AM41,"有"))</f>
        <v/>
      </c>
      <c r="AN42" t="str">
        <f>IF(AN41="","",IF(COUNTIF($A41:AM41,AN41)=0,AN41,"有"))</f>
        <v/>
      </c>
      <c r="AO42" t="str">
        <f>IF(AO41="","",IF(COUNTIF($A41:AN41,AO41)=0,AO41,"有"))</f>
        <v/>
      </c>
      <c r="AP42" t="str">
        <f>IF(AP41="","",IF(COUNTIF($A41:AO41,AP41)=0,AP41,"有"))</f>
        <v/>
      </c>
      <c r="AQ42" t="str">
        <f>IF(AQ41="","",IF(COUNTIF($A41:AP41,AQ41)=0,AQ41,"有"))</f>
        <v/>
      </c>
      <c r="AR42" t="str">
        <f>IF(AR41="","",IF(COUNTIF($A41:AQ41,AR41)=0,AR41,"有"))</f>
        <v/>
      </c>
      <c r="AS42" t="str">
        <f>IF(AS41="","",IF(COUNTIF($A41:AR41,AS41)=0,AS41,"有"))</f>
        <v/>
      </c>
      <c r="AT42" t="str">
        <f>IF(AT41="","",IF(COUNTIF($A41:AS41,AT41)=0,AT41,"有"))</f>
        <v/>
      </c>
      <c r="AU42" t="str">
        <f>IF(AU41="","",IF(COUNTIF($A41:AT41,AU41)=0,AU41,"有"))</f>
        <v/>
      </c>
      <c r="AV42" t="str">
        <f>IF(AV41="","",IF(COUNTIF($A41:AU41,AV41)=0,AV41,"有"))</f>
        <v/>
      </c>
      <c r="AW42" t="str">
        <f>IF(AW41="","",IF(COUNTIF($A41:AV41,AW41)=0,AW41,"有"))</f>
        <v/>
      </c>
      <c r="AX42" t="str">
        <f>IF(AX41="","",IF(COUNTIF($A41:AW41,AX41)=0,AX41,"有"))</f>
        <v/>
      </c>
      <c r="AY42" t="str">
        <f>IF(AY41="","",IF(COUNTIF($A41:AX41,AY41)=0,AY41,"有"))</f>
        <v/>
      </c>
      <c r="AZ42" t="str">
        <f>IF(AZ41="","",IF(COUNTIF($A41:AY41,AZ41)=0,AZ41,"有"))</f>
        <v/>
      </c>
      <c r="BA42" t="str">
        <f>IF(BA41="","",IF(COUNTIF($A41:AZ41,BA41)=0,BA41,"有"))</f>
        <v/>
      </c>
      <c r="BB42" t="str">
        <f>IF(BB41="","",IF(COUNTIF($A41:BA41,BB41)=0,BB41,"有"))</f>
        <v/>
      </c>
      <c r="BC42" t="str">
        <f>IF(BC41="","",IF(COUNTIF($A41:BB41,BC41)=0,BC41,"有"))</f>
        <v/>
      </c>
      <c r="BD42" t="str">
        <f>IF(BD41="","",IF(COUNTIF($A41:BC41,BD41)=0,BD41,"有"))</f>
        <v/>
      </c>
      <c r="BE42" t="str">
        <f>IF(BE41="","",IF(COUNTIF($A41:BD41,BE41)=0,BE41,"有"))</f>
        <v/>
      </c>
      <c r="BF42" t="str">
        <f>IF(BF41="","",IF(COUNTIF($A41:BE41,BF41)=0,BF41,"有"))</f>
        <v/>
      </c>
      <c r="BG42" t="str">
        <f>IF(BG41="","",IF(COUNTIF($A41:BF41,BG41)=0,BG41,"有"))</f>
        <v/>
      </c>
      <c r="BH42" t="str">
        <f>IF(BH41="","",IF(COUNTIF($A41:BG41,BH41)=0,BH41,"有"))</f>
        <v/>
      </c>
      <c r="BI42" t="str">
        <f>IF(BI41="","",IF(COUNTIF($A41:BH41,BI41)=0,BI41,"有"))</f>
        <v/>
      </c>
      <c r="BJ42" t="str">
        <f>IF(BJ41="","",IF(COUNTIF($A41:BI41,BJ41)=0,BJ41,"有"))</f>
        <v/>
      </c>
      <c r="BK42" t="str">
        <f>IF(BK41="","",IF(COUNTIF($A41:BJ41,BK41)=0,BK41,"有"))</f>
        <v/>
      </c>
      <c r="BL42" t="str">
        <f>IF(BL41="","",IF(COUNTIF($A41:BK41,BL41)=0,BL41,"有"))</f>
        <v/>
      </c>
      <c r="BM42" t="str">
        <f>IF(BM41="","",IF(COUNTIF($A41:BL41,BM41)=0,BM41,"有"))</f>
        <v/>
      </c>
      <c r="BN42" t="str">
        <f>IF(BN41="","",IF(COUNTIF($A41:BM41,BN41)=0,BN41,"有"))</f>
        <v/>
      </c>
      <c r="BO42" t="str">
        <f>IF(BO41="","",IF(COUNTIF($A41:BN41,BO41)=0,BO41,"有"))</f>
        <v/>
      </c>
      <c r="BP42" t="str">
        <f>IF(BP41="","",IF(COUNTIF($A41:BO41,BP41)=0,BP41,"有"))</f>
        <v/>
      </c>
      <c r="BQ42" t="str">
        <f>IF(BQ41="","",IF(COUNTIF($A41:BP41,BQ41)=0,BQ41,"有"))</f>
        <v/>
      </c>
      <c r="BR42" t="str">
        <f>IF(BR41="","",IF(COUNTIF($A41:BQ41,BR41)=0,BR41,"有"))</f>
        <v/>
      </c>
      <c r="BS42" t="str">
        <f>IF(BS41="","",IF(COUNTIF($A41:BR41,BS41)=0,BS41,"有"))</f>
        <v/>
      </c>
      <c r="BT42" t="str">
        <f>IF(BT41="","",IF(COUNTIF($A41:BS41,BT41)=0,BT41,"有"))</f>
        <v/>
      </c>
      <c r="BU42" t="str">
        <f>IF(BU41="","",IF(COUNTIF($A41:BT41,BU41)=0,BU41,"有"))</f>
        <v/>
      </c>
      <c r="BV42" t="str">
        <f>IF(BV41="","",IF(COUNTIF($A41:BU41,BV41)=0,BV41,"有"))</f>
        <v/>
      </c>
      <c r="BW42" t="str">
        <f>IF(BW41="","",IF(COUNTIF($A41:BV41,BW41)=0,BW41,"有"))</f>
        <v/>
      </c>
      <c r="BX42" t="str">
        <f>IF(BX41="","",IF(COUNTIF($A41:BW41,BX41)=0,BX41,"有"))</f>
        <v/>
      </c>
      <c r="BY42" t="str">
        <f>IF(BY41="","",IF(COUNTIF($A41:BX41,BY41)=0,BY41,"有"))</f>
        <v/>
      </c>
      <c r="BZ42" t="str">
        <f>IF(BZ41="","",IF(COUNTIF($A41:BY41,BZ41)=0,BZ41,"有"))</f>
        <v/>
      </c>
      <c r="CA42" t="str">
        <f>IF(CA41="","",IF(COUNTIF($A41:BZ41,CA41)=0,CA41,"有"))</f>
        <v/>
      </c>
      <c r="CB42" t="str">
        <f>IF(CB41="","",IF(COUNTIF($A41:CA41,CB41)=0,CB41,"有"))</f>
        <v/>
      </c>
      <c r="CC42" t="str">
        <f>IF(CC41="","",IF(COUNTIF($A41:CB41,CC41)=0,CC41,"有"))</f>
        <v/>
      </c>
      <c r="CD42" t="str">
        <f>IF(CD41="","",IF(COUNTIF($A41:CC41,CD41)=0,CD41,"有"))</f>
        <v/>
      </c>
      <c r="CE42" t="str">
        <f>IF(CE41="","",IF(COUNTIF($A41:CD41,CE41)=0,CE41,"有"))</f>
        <v/>
      </c>
      <c r="CF42" t="str">
        <f>IF(CF41="","",IF(COUNTIF($A41:CE41,CF41)=0,CF41,"有"))</f>
        <v/>
      </c>
      <c r="CG42" t="str">
        <f>IF(CG41="","",IF(COUNTIF($A41:CF41,CG41)=0,CG41,"有"))</f>
        <v/>
      </c>
      <c r="CH42" t="str">
        <f>IF(CH41="","",IF(COUNTIF($A41:CG41,CH41)=0,CH41,"有"))</f>
        <v/>
      </c>
      <c r="CI42" t="str">
        <f>IF(CI41="","",IF(COUNTIF($A41:CH41,CI41)=0,CI41,"有"))</f>
        <v/>
      </c>
      <c r="CJ42" t="str">
        <f>IF(CJ41="","",IF(COUNTIF($A41:CI41,CJ41)=0,CJ41,"有"))</f>
        <v/>
      </c>
      <c r="CK42" t="str">
        <f>IF(CK41="","",IF(COUNTIF($A41:CJ41,CK41)=0,CK41,"有"))</f>
        <v/>
      </c>
      <c r="CL42" t="str">
        <f>IF(CL41="","",IF(COUNTIF($A41:CK41,CL41)=0,CL41,"有"))</f>
        <v/>
      </c>
      <c r="CM42" t="str">
        <f>IF(CM41="","",IF(COUNTIF($A41:CL41,CM41)=0,CM41,"有"))</f>
        <v/>
      </c>
      <c r="CN42" t="str">
        <f>IF(CN41="","",IF(COUNTIF($A41:CM41,CN41)=0,CN41,"有"))</f>
        <v/>
      </c>
      <c r="CO42" t="str">
        <f>IF(CO41="","",IF(COUNTIF($A41:CN41,CO41)=0,CO41,"有"))</f>
        <v/>
      </c>
      <c r="CP42" t="str">
        <f>IF(CP41="","",IF(COUNTIF($A41:CO41,CP41)=0,CP41,"有"))</f>
        <v/>
      </c>
      <c r="CQ42" t="str">
        <f>IF(CQ41="","",IF(COUNTIF($A41:CP41,CQ41)=0,CQ41,"有"))</f>
        <v/>
      </c>
      <c r="CR42" t="str">
        <f>IF(CR41="","",IF(COUNTIF($A41:CQ41,CR41)=0,CR41,"有"))</f>
        <v/>
      </c>
      <c r="CS42" t="str">
        <f>IF(CS41="","",IF(COUNTIF($A41:CR41,CS41)=0,CS41,"有"))</f>
        <v/>
      </c>
      <c r="CT42" t="str">
        <f>IF(CT41="","",IF(COUNTIF($A41:CS41,CT41)=0,CT41,"有"))</f>
        <v/>
      </c>
      <c r="CU42" t="str">
        <f>IF(CU41="","",IF(COUNTIF($A41:CT41,CU41)=0,CU41,"有"))</f>
        <v/>
      </c>
      <c r="CV42" t="str">
        <f>IF(CV41="","",IF(COUNTIF($A41:CU41,CV41)=0,CV41,"有"))</f>
        <v/>
      </c>
      <c r="CW42" t="str">
        <f>IF(CW41="","",IF(COUNTIF($A41:CV41,CW41)=0,CW41,"有"))</f>
        <v/>
      </c>
      <c r="CX42" t="str">
        <f>IF(CX41="","",IF(COUNTIF($A41:CW41,CX41)=0,CX41,"有"))</f>
        <v/>
      </c>
      <c r="CY42" t="str">
        <f>IF(CY41="","",IF(COUNTIF($A41:CX41,CY41)=0,CY41,"有"))</f>
        <v/>
      </c>
      <c r="CZ42" t="str">
        <f>IF(CZ41="","",IF(COUNTIF($A41:CY41,CZ41)=0,CZ41,"有"))</f>
        <v/>
      </c>
      <c r="DA42" t="str">
        <f>IF(DA41="","",IF(COUNTIF($A41:CZ41,DA41)=0,DA41,"有"))</f>
        <v/>
      </c>
      <c r="DB42" t="str">
        <f>IF(DB41="","",IF(COUNTIF($A41:DA41,DB41)=0,DB41,"有"))</f>
        <v/>
      </c>
      <c r="DC42" t="str">
        <f>IF(DC41="","",IF(COUNTIF($A41:DB41,DC41)=0,DC41,"有"))</f>
        <v/>
      </c>
      <c r="DD42" t="str">
        <f>IF(DD41="","",IF(COUNTIF($A41:DC41,DD41)=0,DD41,"有"))</f>
        <v/>
      </c>
      <c r="DE42" t="str">
        <f>IF(DE41="","",IF(COUNTIF($A41:DD41,DE41)=0,DE41,"有"))</f>
        <v/>
      </c>
      <c r="DF42" t="str">
        <f>IF(DF41="","",IF(COUNTIF($A41:DE41,DF41)=0,DF41,"有"))</f>
        <v/>
      </c>
      <c r="DG42" t="str">
        <f>IF(DG41="","",IF(COUNTIF($A41:DF41,DG41)=0,DG41,"有"))</f>
        <v/>
      </c>
      <c r="DH42" t="str">
        <f>IF(DH41="","",IF(COUNTIF($A41:DG41,DH41)=0,DH41,"有"))</f>
        <v/>
      </c>
      <c r="DI42" t="str">
        <f>IF(DI41="","",IF(COUNTIF($A41:DH41,DI41)=0,DI41,"有"))</f>
        <v/>
      </c>
      <c r="DJ42" t="str">
        <f>IF(DJ41="","",IF(COUNTIF($A41:DI41,DJ41)=0,DJ41,"有"))</f>
        <v/>
      </c>
      <c r="DK42" t="str">
        <f>IF(DK41="","",IF(COUNTIF($A41:DJ41,DK41)=0,DK41,"有"))</f>
        <v/>
      </c>
      <c r="DL42" t="str">
        <f>IF(DL41="","",IF(COUNTIF($A41:DK41,DL41)=0,DL41,"有"))</f>
        <v/>
      </c>
      <c r="DM42" t="str">
        <f>IF(DM41="","",IF(COUNTIF($A41:DL41,DM41)=0,DM41,"有"))</f>
        <v/>
      </c>
      <c r="DN42" t="str">
        <f>IF(DN41="","",IF(COUNTIF($A41:DM41,DN41)=0,DN41,"有"))</f>
        <v/>
      </c>
      <c r="DO42" t="str">
        <f>IF(DO41="","",IF(COUNTIF($A41:DN41,DO41)=0,DO41,"有"))</f>
        <v/>
      </c>
      <c r="DP42" t="str">
        <f>IF(DP41="","",IF(COUNTIF($A41:DO41,DP41)=0,DP41,"有"))</f>
        <v/>
      </c>
      <c r="DQ42" t="str">
        <f>IF(DQ41="","",IF(COUNTIF($A41:DP41,DQ41)=0,DQ41,"有"))</f>
        <v/>
      </c>
      <c r="DR42" t="str">
        <f>IF(DR41="","",IF(COUNTIF($A41:DQ41,DR41)=0,DR41,"有"))</f>
        <v/>
      </c>
      <c r="DS42" t="str">
        <f>IF(DS41="","",IF(COUNTIF($A41:DR41,DS41)=0,DS41,"有"))</f>
        <v/>
      </c>
      <c r="DT42" t="str">
        <f>IF(DT41="","",IF(COUNTIF($A41:DS41,DT41)=0,DT41,"有"))</f>
        <v/>
      </c>
      <c r="DU42" t="str">
        <f>IF(DU41="","",IF(COUNTIF($A41:DT41,DU41)=0,DU41,"有"))</f>
        <v/>
      </c>
      <c r="DV42" t="str">
        <f>IF(DV41="","",IF(COUNTIF($A41:DU41,DV41)=0,DV41,"有"))</f>
        <v/>
      </c>
      <c r="DW42" t="str">
        <f>IF(DW41="","",IF(COUNTIF($A41:DV41,DW41)=0,DW41,"有"))</f>
        <v/>
      </c>
      <c r="DX42" t="str">
        <f>IF(DX41="","",IF(COUNTIF($A41:DW41,DX41)=0,DX41,"有"))</f>
        <v/>
      </c>
      <c r="DY42" t="str">
        <f>IF(DY41="","",IF(COUNTIF($A41:DX41,DY41)=0,DY41,"有"))</f>
        <v/>
      </c>
      <c r="DZ42" t="str">
        <f>IF(DZ41="","",IF(COUNTIF($A41:DY41,DZ41)=0,DZ41,"有"))</f>
        <v/>
      </c>
      <c r="EA42" t="str">
        <f>IF(EA41="","",IF(COUNTIF($A41:DZ41,EA41)=0,EA41,"有"))</f>
        <v/>
      </c>
      <c r="EB42" t="str">
        <f>IF(EB41="","",IF(COUNTIF($A41:EA41,EB41)=0,EB41,"有"))</f>
        <v/>
      </c>
      <c r="EC42" t="str">
        <f>IF(EC41="","",IF(COUNTIF($A41:EB41,EC41)=0,EC41,"有"))</f>
        <v/>
      </c>
      <c r="ED42" t="str">
        <f>IF(ED41="","",IF(COUNTIF($A41:EC41,ED41)=0,ED41,"有"))</f>
        <v/>
      </c>
      <c r="EE42" t="str">
        <f>IF(EE41="","",IF(COUNTIF($A41:ED41,EE41)=0,EE41,"有"))</f>
        <v/>
      </c>
      <c r="EF42" t="str">
        <f>IF(EF41="","",IF(COUNTIF($A41:EE41,EF41)=0,EF41,"有"))</f>
        <v/>
      </c>
      <c r="EG42" t="str">
        <f>IF(EG41="","",IF(COUNTIF($A41:EF41,EG41)=0,EG41,"有"))</f>
        <v/>
      </c>
      <c r="EH42" t="str">
        <f>IF(EH41="","",IF(COUNTIF($A41:EG41,EH41)=0,EH41,"有"))</f>
        <v/>
      </c>
      <c r="EI42" t="str">
        <f>IF(EI41="","",IF(COUNTIF($A41:EH41,EI41)=0,EI41,"有"))</f>
        <v/>
      </c>
      <c r="EJ42" t="str">
        <f>IF(EJ41="","",IF(COUNTIF($A41:EI41,EJ41)=0,EJ41,"有"))</f>
        <v/>
      </c>
      <c r="EK42" t="str">
        <f>IF(EK41="","",IF(COUNTIF($A41:EJ41,EK41)=0,EK41,"有"))</f>
        <v/>
      </c>
      <c r="EL42" t="str">
        <f>IF(EL41="","",IF(COUNTIF($A41:EK41,EL41)=0,EL41,"有"))</f>
        <v/>
      </c>
      <c r="EM42" t="str">
        <f>IF(EM41="","",IF(COUNTIF($A41:EL41,EM41)=0,EM41,"有"))</f>
        <v/>
      </c>
      <c r="EN42" t="str">
        <f>IF(EN41="","",IF(COUNTIF($A41:EM41,EN41)=0,EN41,"有"))</f>
        <v/>
      </c>
      <c r="EO42" t="str">
        <f>IF(EO41="","",IF(COUNTIF($A41:EN41,EO41)=0,EO41,"有"))</f>
        <v/>
      </c>
      <c r="EP42" t="str">
        <f>IF(EP41="","",IF(COUNTIF($A41:EO41,EP41)=0,EP41,"有"))</f>
        <v/>
      </c>
      <c r="EQ42" t="str">
        <f>IF(EQ41="","",IF(COUNTIF($A41:EP41,EQ41)=0,EQ41,"有"))</f>
        <v/>
      </c>
      <c r="ER42" t="str">
        <f>IF(ER41="","",IF(COUNTIF($A41:EQ41,ER41)=0,ER41,"有"))</f>
        <v/>
      </c>
      <c r="ES42" t="str">
        <f>IF(ES41="","",IF(COUNTIF($A41:ER41,ES41)=0,ES41,"有"))</f>
        <v/>
      </c>
      <c r="ET42" t="str">
        <f>IF(ET41="","",IF(COUNTIF($A41:ES41,ET41)=0,ET41,"有"))</f>
        <v/>
      </c>
      <c r="EU42" t="str">
        <f>IF(EU41="","",IF(COUNTIF($A41:ET41,EU41)=0,EU41,"有"))</f>
        <v/>
      </c>
      <c r="EV42" t="str">
        <f>IF(EV41="","",IF(COUNTIF($A41:EU41,EV41)=0,EV41,"有"))</f>
        <v/>
      </c>
      <c r="EW42" t="str">
        <f>IF(EW41="","",IF(COUNTIF($A41:EV41,EW41)=0,EW41,"有"))</f>
        <v/>
      </c>
      <c r="EX42" t="str">
        <f>IF(EX41="","",IF(COUNTIF($A41:EW41,EX41)=0,EX41,"有"))</f>
        <v/>
      </c>
      <c r="EY42" t="str">
        <f>IF(EY41="","",IF(COUNTIF($A41:EX41,EY41)=0,EY41,"有"))</f>
        <v/>
      </c>
      <c r="EZ42" t="str">
        <f>IF(EZ41="","",IF(COUNTIF($A41:EY41,EZ41)=0,EZ41,"有"))</f>
        <v/>
      </c>
      <c r="FA42" t="str">
        <f>IF(FA41="","",IF(COUNTIF($A41:EZ41,FA41)=0,FA41,"有"))</f>
        <v/>
      </c>
      <c r="FB42" t="str">
        <f>IF(FB41="","",IF(COUNTIF($A41:FA41,FB41)=0,FB41,"有"))</f>
        <v/>
      </c>
      <c r="FC42" t="str">
        <f>IF(FC41="","",IF(COUNTIF($A41:FB41,FC41)=0,FC41,"有"))</f>
        <v/>
      </c>
      <c r="FD42" t="str">
        <f>IF(FD41="","",IF(COUNTIF($A41:FC41,FD41)=0,FD41,"有"))</f>
        <v/>
      </c>
      <c r="FE42" t="str">
        <f>IF(FE41="","",IF(COUNTIF($A41:FD41,FE41)=0,FE41,"有"))</f>
        <v/>
      </c>
      <c r="FF42" t="str">
        <f>IF(FF41="","",IF(COUNTIF($A41:FE41,FF41)=0,FF41,"有"))</f>
        <v/>
      </c>
      <c r="FG42" t="str">
        <f>IF(FG41="","",IF(COUNTIF($A41:FF41,FG41)=0,FG41,"有"))</f>
        <v/>
      </c>
      <c r="FH42" t="str">
        <f>IF(FH41="","",IF(COUNTIF($A41:FG41,FH41)=0,FH41,"有"))</f>
        <v/>
      </c>
      <c r="FI42" t="str">
        <f>IF(FI41="","",IF(COUNTIF($A41:FH41,FI41)=0,FI41,"有"))</f>
        <v/>
      </c>
      <c r="FJ42" t="str">
        <f>IF(FJ41="","",IF(COUNTIF($A41:FI41,FJ41)=0,FJ41,"有"))</f>
        <v/>
      </c>
      <c r="FK42" t="str">
        <f>IF(FK41="","",IF(COUNTIF($A41:FJ41,FK41)=0,FK41,"有"))</f>
        <v/>
      </c>
      <c r="FL42" t="str">
        <f>IF(FL41="","",IF(COUNTIF($A41:FK41,FL41)=0,FL41,"有"))</f>
        <v/>
      </c>
      <c r="FM42" t="str">
        <f>IF(FM41="","",IF(COUNTIF($A41:FL41,FM41)=0,FM41,"有"))</f>
        <v/>
      </c>
      <c r="FN42" t="str">
        <f>IF(FN41="","",IF(COUNTIF($A41:FM41,FN41)=0,FN41,"有"))</f>
        <v/>
      </c>
      <c r="FO42" t="str">
        <f>IF(FO41="","",IF(COUNTIF($A41:FN41,FO41)=0,FO41,"有"))</f>
        <v/>
      </c>
      <c r="FP42" t="str">
        <f>IF(FP41="","",IF(COUNTIF($A41:FO41,FP41)=0,FP41,"有"))</f>
        <v/>
      </c>
      <c r="FQ42" t="str">
        <f>IF(FQ41="","",IF(COUNTIF($A41:FP41,FQ41)=0,FQ41,"有"))</f>
        <v/>
      </c>
      <c r="FR42" t="str">
        <f>IF(FR41="","",IF(COUNTIF($A41:FQ41,FR41)=0,FR41,"有"))</f>
        <v/>
      </c>
      <c r="FS42" t="str">
        <f>IF(FS41="","",IF(COUNTIF($A41:FR41,FS41)=0,FS41,"有"))</f>
        <v/>
      </c>
      <c r="FT42" t="str">
        <f>IF(FT41="","",IF(COUNTIF($A41:FS41,FT41)=0,FT41,"有"))</f>
        <v/>
      </c>
      <c r="FU42" t="str">
        <f>IF(FU41="","",IF(COUNTIF($A41:FT41,FU41)=0,FU41,"有"))</f>
        <v/>
      </c>
      <c r="FV42" t="str">
        <f>IF(FV41="","",IF(COUNTIF($A41:FU41,FV41)=0,FV41,"有"))</f>
        <v/>
      </c>
      <c r="FW42" t="str">
        <f>IF(FW41="","",IF(COUNTIF($A41:FV41,FW41)=0,FW41,"有"))</f>
        <v/>
      </c>
      <c r="FX42" t="str">
        <f>IF(FX41="","",IF(COUNTIF($A41:FW41,FX41)=0,FX41,"有"))</f>
        <v/>
      </c>
      <c r="FY42" t="str">
        <f>IF(FY41="","",IF(COUNTIF($A41:FX41,FY41)=0,FY41,"有"))</f>
        <v/>
      </c>
      <c r="FZ42" t="str">
        <f>IF(FZ41="","",IF(COUNTIF($A41:FY41,FZ41)=0,FZ41,"有"))</f>
        <v/>
      </c>
      <c r="GA42" t="str">
        <f>IF(GA41="","",IF(COUNTIF($A41:FZ41,GA41)=0,GA41,"有"))</f>
        <v/>
      </c>
      <c r="GB42" t="str">
        <f>IF(GB41="","",IF(COUNTIF($A41:GA41,GB41)=0,GB41,"有"))</f>
        <v/>
      </c>
      <c r="GC42" t="str">
        <f>IF(GC41="","",IF(COUNTIF($A41:GB41,GC41)=0,GC41,"有"))</f>
        <v/>
      </c>
      <c r="GD42" t="str">
        <f>IF(GD41="","",IF(COUNTIF($A41:GC41,GD41)=0,GD41,"有"))</f>
        <v/>
      </c>
      <c r="GE42" t="str">
        <f>IF(GE41="","",IF(COUNTIF($A41:GD41,GE41)=0,GE41,"有"))</f>
        <v/>
      </c>
      <c r="GF42" t="str">
        <f>IF(GF41="","",IF(COUNTIF($A41:GE41,GF41)=0,GF41,"有"))</f>
        <v/>
      </c>
      <c r="GG42" t="str">
        <f>IF(GG41="","",IF(COUNTIF($A41:GF41,GG41)=0,GG41,"有"))</f>
        <v/>
      </c>
      <c r="GH42" t="str">
        <f>IF(GH41="","",IF(COUNTIF($A41:GG41,GH41)=0,GH41,"有"))</f>
        <v/>
      </c>
      <c r="GI42" t="str">
        <f>IF(GI41="","",IF(COUNTIF($A41:GH41,GI41)=0,GI41,"有"))</f>
        <v/>
      </c>
      <c r="GJ42" t="str">
        <f>IF(GJ41="","",IF(COUNTIF($A41:GI41,GJ41)=0,GJ41,"有"))</f>
        <v/>
      </c>
      <c r="GK42" t="str">
        <f>IF(GK41="","",IF(COUNTIF($A41:GJ41,GK41)=0,GK41,"有"))</f>
        <v/>
      </c>
      <c r="GL42" t="str">
        <f>IF(GL41="","",IF(COUNTIF($A41:GK41,GL41)=0,GL41,"有"))</f>
        <v/>
      </c>
      <c r="GM42" t="str">
        <f>IF(GM41="","",IF(COUNTIF($A41:GL41,GM41)=0,GM41,"有"))</f>
        <v/>
      </c>
      <c r="GN42" t="str">
        <f>IF(GN41="","",IF(COUNTIF($A41:GM41,GN41)=0,GN41,"有"))</f>
        <v/>
      </c>
      <c r="GO42" t="str">
        <f>IF(GO41="","",IF(COUNTIF($A41:GN41,GO41)=0,GO41,"有"))</f>
        <v/>
      </c>
      <c r="GP42" t="str">
        <f>IF(GP41="","",IF(COUNTIF($A41:GO41,GP41)=0,GP41,"有"))</f>
        <v/>
      </c>
      <c r="GQ42" t="str">
        <f>IF(GQ41="","",IF(COUNTIF($A41:GP41,GQ41)=0,GQ41,"有"))</f>
        <v/>
      </c>
      <c r="GR42" t="str">
        <f>IF(GR41="","",IF(COUNTIF($A41:GQ41,GR41)=0,GR41,"有"))</f>
        <v/>
      </c>
      <c r="GS42" t="str">
        <f>IF(GS41="","",IF(COUNTIF($A41:GR41,GS41)=0,GS41,"有"))</f>
        <v/>
      </c>
      <c r="GT42" t="str">
        <f>IF(GT41="","",IF(COUNTIF($A41:GS41,GT41)=0,GT41,"有"))</f>
        <v/>
      </c>
      <c r="GU42" t="str">
        <f>IF(GU41="","",IF(COUNTIF($A41:GT41,GU41)=0,GU41,"有"))</f>
        <v/>
      </c>
      <c r="GV42" t="str">
        <f>IF(GV41="","",IF(COUNTIF($A41:GU41,GV41)=0,GV41,"有"))</f>
        <v/>
      </c>
      <c r="GW42" t="str">
        <f>IF(GW41="","",IF(COUNTIF($A41:GV41,GW41)=0,GW41,"有"))</f>
        <v/>
      </c>
      <c r="GX42" t="str">
        <f>IF(GX41="","",IF(COUNTIF($A41:GW41,GX41)=0,GX41,"有"))</f>
        <v/>
      </c>
      <c r="GY42" t="str">
        <f>IF(GY41="","",IF(COUNTIF($A41:GX41,GY41)=0,GY41,"有"))</f>
        <v/>
      </c>
      <c r="GZ42" t="str">
        <f>IF(GZ41="","",IF(COUNTIF($A41:GY41,GZ41)=0,GZ41,"有"))</f>
        <v/>
      </c>
      <c r="HA42" t="str">
        <f>IF(HA41="","",IF(COUNTIF($A41:GZ41,HA41)=0,HA41,"有"))</f>
        <v/>
      </c>
      <c r="HB42" t="str">
        <f>IF(HB41="","",IF(COUNTIF($A41:HA41,HB41)=0,HB41,"有"))</f>
        <v/>
      </c>
      <c r="HC42" t="str">
        <f>IF(HC41="","",IF(COUNTIF($A41:HB41,HC41)=0,HC41,"有"))</f>
        <v/>
      </c>
      <c r="HD42" t="str">
        <f>IF(HD41="","",IF(COUNTIF($A41:HC41,HD41)=0,HD41,"有"))</f>
        <v/>
      </c>
      <c r="HE42" t="str">
        <f>IF(HE41="","",IF(COUNTIF($A41:HD41,HE41)=0,HE41,"有"))</f>
        <v/>
      </c>
      <c r="HF42" t="str">
        <f>IF(HF41="","",IF(COUNTIF($A41:HE41,HF41)=0,HF41,"有"))</f>
        <v/>
      </c>
      <c r="HG42" t="str">
        <f>IF(HG41="","",IF(COUNTIF($A41:HF41,HG41)=0,HG41,"有"))</f>
        <v/>
      </c>
      <c r="HH42" t="str">
        <f>IF(HH41="","",IF(COUNTIF($A41:HG41,HH41)=0,HH41,"有"))</f>
        <v/>
      </c>
      <c r="HI42" t="str">
        <f>IF(HI41="","",IF(COUNTIF($A41:HH41,HI41)=0,HI41,"有"))</f>
        <v/>
      </c>
      <c r="HJ42" t="str">
        <f>IF(HJ41="","",IF(COUNTIF($A41:HI41,HJ41)=0,HJ41,"有"))</f>
        <v/>
      </c>
      <c r="HK42" t="str">
        <f>IF(HK41="","",IF(COUNTIF($A41:HJ41,HK41)=0,HK41,"有"))</f>
        <v/>
      </c>
      <c r="HL42" t="str">
        <f>IF(HL41="","",IF(COUNTIF($A41:HK41,HL41)=0,HL41,"有"))</f>
        <v/>
      </c>
      <c r="HM42" t="str">
        <f>IF(HM41="","",IF(COUNTIF($A41:HL41,HM41)=0,HM41,"有"))</f>
        <v/>
      </c>
      <c r="HN42" t="str">
        <f>IF(HN41="","",IF(COUNTIF($A41:HM41,HN41)=0,HN41,"有"))</f>
        <v/>
      </c>
      <c r="HO42" t="str">
        <f>IF(HO41="","",IF(COUNTIF($A41:HN41,HO41)=0,HO41,"有"))</f>
        <v/>
      </c>
      <c r="HP42" t="str">
        <f>IF(HP41="","",IF(COUNTIF($A41:HO41,HP41)=0,HP41,"有"))</f>
        <v/>
      </c>
      <c r="HQ42" t="str">
        <f>IF(HQ41="","",IF(COUNTIF($A41:HP41,HQ41)=0,HQ41,"有"))</f>
        <v/>
      </c>
      <c r="HR42" t="str">
        <f>IF(HR41="","",IF(COUNTIF($A41:HQ41,HR41)=0,HR41,"有"))</f>
        <v/>
      </c>
      <c r="HS42" t="str">
        <f>IF(HS41="","",IF(COUNTIF($A41:HR41,HS41)=0,HS41,"有"))</f>
        <v/>
      </c>
      <c r="HT42" t="str">
        <f>IF(HT41="","",IF(COUNTIF($A41:HS41,HT41)=0,HT41,"有"))</f>
        <v/>
      </c>
      <c r="HU42" t="str">
        <f>IF(HU41="","",IF(COUNTIF($A41:HT41,HU41)=0,HU41,"有"))</f>
        <v/>
      </c>
      <c r="HV42" t="str">
        <f>IF(HV41="","",IF(COUNTIF($A41:HU41,HV41)=0,HV41,"有"))</f>
        <v/>
      </c>
      <c r="HW42" t="str">
        <f>IF(HW41="","",IF(COUNTIF($A41:HV41,HW41)=0,HW41,"有"))</f>
        <v/>
      </c>
    </row>
    <row r="43" spans="1:231" hidden="1" x14ac:dyDescent="0.25">
      <c r="A43" s="29" t="s">
        <v>68</v>
      </c>
      <c r="B43">
        <f>IF(B41="",0,ROUND(历史账单!E1+上分记录!B1,赔率设置!F6))</f>
        <v>1004.7</v>
      </c>
      <c r="C43">
        <f>IF(C41="",0,ROUND(历史账单!F1+上分记录!C1,赔率设置!G6))</f>
        <v>13</v>
      </c>
      <c r="D43">
        <f>IF(D41="",0,ROUND(历史账单!G1+上分记录!D1,赔率设置!H6))</f>
        <v>-1</v>
      </c>
      <c r="E43">
        <f>IF(E41="",0,ROUND(历史账单!H1+上分记录!E1,赔率设置!I6))</f>
        <v>1</v>
      </c>
      <c r="F43">
        <f>IF(F41="",0,ROUND(历史账单!I1+上分记录!F1,赔率设置!J6))</f>
        <v>0</v>
      </c>
      <c r="G43">
        <f>IF(G41="",0,ROUND(历史账单!J1+上分记录!G1,赔率设置!K6))</f>
        <v>100</v>
      </c>
      <c r="H43">
        <f>IF(H41="",0,ROUND(历史账单!K1+上分记录!H1,赔率设置!L6))</f>
        <v>1000</v>
      </c>
      <c r="I43">
        <f>IF(I41="",0,ROUND(历史账单!L1+上分记录!I1,赔率设置!M6))</f>
        <v>0</v>
      </c>
      <c r="J43">
        <f>IF(J41="",0,ROUND(历史账单!M1+上分记录!J1,赔率设置!N6))</f>
        <v>0</v>
      </c>
      <c r="K43">
        <f>IF(K41="",0,ROUND(历史账单!N1+上分记录!K1,赔率设置!O6))</f>
        <v>0</v>
      </c>
      <c r="L43">
        <f>IF(L41="",0,ROUND(历史账单!O1+上分记录!L1,赔率设置!P6))</f>
        <v>50</v>
      </c>
      <c r="M43">
        <f>IF(M41="",0,ROUND(历史账单!P1+上分记录!M1,赔率设置!Q6))</f>
        <v>5000</v>
      </c>
      <c r="N43">
        <f>IF(N41="",0,ROUND(历史账单!Q1+上分记录!N1,赔率设置!R6))</f>
        <v>0</v>
      </c>
      <c r="O43">
        <f>IF(O41="",0,ROUND(历史账单!R1+上分记录!O1,赔率设置!S6))</f>
        <v>0</v>
      </c>
      <c r="P43">
        <f>IF(P41="",0,ROUND(历史账单!S1+上分记录!P1,赔率设置!T6))</f>
        <v>0</v>
      </c>
      <c r="Q43">
        <f>IF(Q41="",0,ROUND(历史账单!T1+上分记录!Q1,赔率设置!U6))</f>
        <v>-11</v>
      </c>
      <c r="R43">
        <f>IF(R41="",0,ROUND(历史账单!U1+上分记录!R1,赔率设置!V6))</f>
        <v>10</v>
      </c>
      <c r="S43">
        <f>IF(S41="",0,ROUND(历史账单!V1+上分记录!S1,赔率设置!W6))</f>
        <v>0</v>
      </c>
      <c r="T43">
        <f>IF(T41="",0,ROUND(历史账单!W1+上分记录!T1,赔率设置!X6))</f>
        <v>10</v>
      </c>
      <c r="U43">
        <f>IF(U41="",0,ROUND(历史账单!X1+上分记录!U1,赔率设置!Y6))</f>
        <v>77</v>
      </c>
      <c r="V43">
        <f>IF(V41="",0,ROUND(历史账单!Y1+上分记录!V1,赔率设置!Z6))</f>
        <v>0</v>
      </c>
      <c r="W43">
        <f>IF(W41="",0,ROUND(历史账单!Z1+上分记录!W1,赔率设置!AA6))</f>
        <v>0</v>
      </c>
      <c r="X43">
        <f>IF(X41="",0,ROUND(历史账单!AA1+上分记录!X1,赔率设置!AB6))</f>
        <v>0</v>
      </c>
      <c r="Y43">
        <f>IF(Y41="",0,ROUND(历史账单!AB1+上分记录!Y1,赔率设置!AC6))</f>
        <v>0</v>
      </c>
      <c r="Z43">
        <f>IF(Z41="",0,ROUND(历史账单!AC1+上分记录!Z1,赔率设置!AD6))</f>
        <v>0</v>
      </c>
      <c r="AA43">
        <f>IF(AA41="",0,ROUND(历史账单!AD1+上分记录!AA1,赔率设置!AE6))</f>
        <v>0</v>
      </c>
      <c r="AB43">
        <f>IF(AB41="",0,ROUND(历史账单!AE1+上分记录!AB1,赔率设置!AF6))</f>
        <v>0</v>
      </c>
      <c r="AC43">
        <f>IF(AC41="",0,ROUND(历史账单!AF1+上分记录!AC1,赔率设置!AG6))</f>
        <v>0</v>
      </c>
      <c r="AD43">
        <f>IF(AD41="",0,ROUND(历史账单!AG1+上分记录!AD1,赔率设置!AH6))</f>
        <v>0</v>
      </c>
      <c r="AE43">
        <f>IF(AE41="",0,ROUND(历史账单!AH1+上分记录!AE1,赔率设置!AI6))</f>
        <v>0</v>
      </c>
      <c r="AF43">
        <f>IF(AF41="",0,ROUND(历史账单!AI1+上分记录!AF1,赔率设置!AJ6))</f>
        <v>0</v>
      </c>
      <c r="AG43">
        <f>IF(AG41="",0,ROUND(历史账单!AJ1+上分记录!AG1,赔率设置!AK6))</f>
        <v>0</v>
      </c>
      <c r="AH43">
        <f>IF(AH41="",0,ROUND(历史账单!AK1+上分记录!AH1,赔率设置!AL6))</f>
        <v>0</v>
      </c>
      <c r="AI43">
        <f>IF(AI41="",0,ROUND(历史账单!AL1+上分记录!AI1,赔率设置!AM6))</f>
        <v>0</v>
      </c>
      <c r="AJ43">
        <f>IF(AJ41="",0,ROUND(历史账单!AM1+上分记录!AJ1,赔率设置!AN6))</f>
        <v>0</v>
      </c>
      <c r="AK43">
        <f>IF(AK41="",0,ROUND(历史账单!AN1+上分记录!AK1,赔率设置!AO6))</f>
        <v>0</v>
      </c>
      <c r="AL43">
        <f>IF(AL41="",0,ROUND(历史账单!AO1+上分记录!AL1,赔率设置!AP6))</f>
        <v>0</v>
      </c>
      <c r="AM43">
        <f>IF(AM41="",0,ROUND(历史账单!AP1+上分记录!AM1,赔率设置!AQ6))</f>
        <v>0</v>
      </c>
      <c r="AN43">
        <f>IF(AN41="",0,ROUND(历史账单!AQ1+上分记录!AN1,赔率设置!AR6))</f>
        <v>0</v>
      </c>
      <c r="AO43">
        <f>IF(AO41="",0,ROUND(历史账单!AR1+上分记录!AO1,赔率设置!AS6))</f>
        <v>0</v>
      </c>
      <c r="AP43">
        <f>IF(AP41="",0,ROUND(历史账单!AS1+上分记录!AP1,赔率设置!AT6))</f>
        <v>0</v>
      </c>
      <c r="AQ43">
        <f>IF(AQ41="",0,ROUND(历史账单!AT1+上分记录!AQ1,赔率设置!AU6))</f>
        <v>0</v>
      </c>
      <c r="AR43">
        <f>IF(AR41="",0,ROUND(历史账单!AU1+上分记录!AR1,赔率设置!AV6))</f>
        <v>0</v>
      </c>
      <c r="AS43">
        <f>IF(AS41="",0,ROUND(历史账单!AV1+上分记录!AS1,赔率设置!AW6))</f>
        <v>0</v>
      </c>
      <c r="AT43">
        <f>IF(AT41="",0,ROUND(历史账单!AW1+上分记录!AT1,赔率设置!AX6))</f>
        <v>0</v>
      </c>
      <c r="AU43">
        <f>IF(AU41="",0,ROUND(历史账单!AX1+上分记录!AU1,赔率设置!AY6))</f>
        <v>0</v>
      </c>
      <c r="AV43">
        <f>IF(AV41="",0,ROUND(历史账单!AY1+上分记录!AV1,赔率设置!AZ6))</f>
        <v>0</v>
      </c>
      <c r="AW43">
        <f>IF(AW41="",0,ROUND(历史账单!AZ1+上分记录!AW1,赔率设置!BA6))</f>
        <v>0</v>
      </c>
      <c r="AX43">
        <f>IF(AX41="",0,ROUND(历史账单!BA1+上分记录!AX1,赔率设置!BB6))</f>
        <v>0</v>
      </c>
      <c r="AY43">
        <f>IF(AY41="",0,ROUND(历史账单!BB1+上分记录!AY1,赔率设置!BC6))</f>
        <v>0</v>
      </c>
      <c r="AZ43">
        <f>IF(AZ41="",0,ROUND(历史账单!BC1+上分记录!AZ1,赔率设置!BD6))</f>
        <v>0</v>
      </c>
      <c r="BA43">
        <f>IF(BA41="",0,ROUND(历史账单!BD1+上分记录!BA1,赔率设置!BE6))</f>
        <v>0</v>
      </c>
      <c r="BB43">
        <f>IF(BB41="",0,ROUND(历史账单!BE1+上分记录!BB1,赔率设置!BF6))</f>
        <v>0</v>
      </c>
      <c r="BC43">
        <f>IF(BC41="",0,ROUND(历史账单!BF1+上分记录!BC1,赔率设置!BG6))</f>
        <v>0</v>
      </c>
      <c r="BD43">
        <f>IF(BD41="",0,ROUND(历史账单!BG1+上分记录!BD1,赔率设置!BH6))</f>
        <v>0</v>
      </c>
      <c r="BE43">
        <f>IF(BE41="",0,ROUND(历史账单!BH1+上分记录!BE1,赔率设置!BI6))</f>
        <v>0</v>
      </c>
      <c r="BF43">
        <f>IF(BF41="",0,ROUND(历史账单!BI1+上分记录!BF1,赔率设置!BJ6))</f>
        <v>0</v>
      </c>
      <c r="BG43">
        <f>IF(BG41="",0,ROUND(历史账单!BJ1+上分记录!BG1,赔率设置!BK6))</f>
        <v>0</v>
      </c>
      <c r="BH43">
        <f>IF(BH41="",0,ROUND(历史账单!BK1+上分记录!BH1,赔率设置!BL6))</f>
        <v>0</v>
      </c>
      <c r="BI43">
        <f>IF(BI41="",0,ROUND(历史账单!BL1+上分记录!BI1,赔率设置!BM6))</f>
        <v>0</v>
      </c>
      <c r="BJ43">
        <f>IF(BJ41="",0,ROUND(历史账单!BM1+上分记录!BJ1,赔率设置!BN6))</f>
        <v>0</v>
      </c>
      <c r="BK43">
        <f>IF(BK41="",0,ROUND(历史账单!BN1+上分记录!BK1,赔率设置!BO6))</f>
        <v>0</v>
      </c>
      <c r="BL43">
        <f>IF(BL41="",0,ROUND(历史账单!BO1+上分记录!BL1,赔率设置!BP6))</f>
        <v>0</v>
      </c>
      <c r="BM43">
        <f>IF(BM41="",0,ROUND(历史账单!BP1+上分记录!BM1,赔率设置!BQ6))</f>
        <v>0</v>
      </c>
      <c r="BN43">
        <f>IF(BN41="",0,ROUND(历史账单!BQ1+上分记录!BN1,赔率设置!BR6))</f>
        <v>0</v>
      </c>
      <c r="BO43">
        <f>IF(BO41="",0,ROUND(历史账单!BR1+上分记录!BO1,赔率设置!BS6))</f>
        <v>0</v>
      </c>
      <c r="BP43">
        <f>IF(BP41="",0,ROUND(历史账单!BS1+上分记录!BP1,赔率设置!BT6))</f>
        <v>0</v>
      </c>
      <c r="BQ43">
        <f>IF(BQ41="",0,ROUND(历史账单!BT1+上分记录!BQ1,赔率设置!BU6))</f>
        <v>0</v>
      </c>
      <c r="BR43">
        <f>IF(BR41="",0,ROUND(历史账单!BU1+上分记录!BR1,赔率设置!BV6))</f>
        <v>0</v>
      </c>
      <c r="BS43">
        <f>IF(BS41="",0,ROUND(历史账单!BV1+上分记录!BS1,赔率设置!BW6))</f>
        <v>0</v>
      </c>
      <c r="BT43">
        <f>IF(BT41="",0,ROUND(历史账单!BW1+上分记录!BT1,赔率设置!BX6))</f>
        <v>0</v>
      </c>
      <c r="BU43">
        <f>IF(BU41="",0,ROUND(历史账单!BX1+上分记录!BU1,赔率设置!BY6))</f>
        <v>0</v>
      </c>
      <c r="BV43">
        <f>IF(BV41="",0,ROUND(历史账单!BY1+上分记录!BV1,赔率设置!BZ6))</f>
        <v>0</v>
      </c>
      <c r="BW43">
        <f>IF(BW41="",0,ROUND(历史账单!BZ1+上分记录!BW1,赔率设置!CA6))</f>
        <v>0</v>
      </c>
      <c r="BX43">
        <f>IF(BX41="",0,ROUND(历史账单!CA1+上分记录!BX1,赔率设置!CB6))</f>
        <v>0</v>
      </c>
      <c r="BY43">
        <f>IF(BY41="",0,ROUND(历史账单!CB1+上分记录!BY1,赔率设置!CC6))</f>
        <v>0</v>
      </c>
      <c r="BZ43">
        <f>IF(BZ41="",0,ROUND(历史账单!CC1+上分记录!BZ1,赔率设置!CD6))</f>
        <v>0</v>
      </c>
      <c r="CA43">
        <f>IF(CA41="",0,ROUND(历史账单!CD1+上分记录!CA1,赔率设置!CE6))</f>
        <v>0</v>
      </c>
      <c r="CB43">
        <f>IF(CB41="",0,ROUND(历史账单!CE1+上分记录!CB1,赔率设置!CF6))</f>
        <v>0</v>
      </c>
      <c r="CC43">
        <f>IF(CC41="",0,ROUND(历史账单!CF1+上分记录!CC1,赔率设置!CG6))</f>
        <v>0</v>
      </c>
      <c r="CD43">
        <f>IF(CD41="",0,ROUND(历史账单!CG1+上分记录!CD1,赔率设置!CH6))</f>
        <v>0</v>
      </c>
      <c r="CE43">
        <f>IF(CE41="",0,ROUND(历史账单!CH1+上分记录!CE1,赔率设置!CI6))</f>
        <v>0</v>
      </c>
      <c r="CF43">
        <f>IF(CF41="",0,ROUND(历史账单!CI1+上分记录!CF1,赔率设置!CJ6))</f>
        <v>0</v>
      </c>
      <c r="CG43">
        <f>IF(CG41="",0,ROUND(历史账单!CJ1+上分记录!CG1,赔率设置!CK6))</f>
        <v>0</v>
      </c>
      <c r="CH43">
        <f>IF(CH41="",0,ROUND(历史账单!CK1+上分记录!CH1,赔率设置!CL6))</f>
        <v>0</v>
      </c>
      <c r="CI43">
        <f>IF(CI41="",0,ROUND(历史账单!CL1+上分记录!CI1,赔率设置!CM6))</f>
        <v>0</v>
      </c>
      <c r="CJ43">
        <f>IF(CJ41="",0,ROUND(历史账单!CM1+上分记录!CJ1,赔率设置!CN6))</f>
        <v>0</v>
      </c>
      <c r="CK43">
        <f>IF(CK41="",0,ROUND(历史账单!CN1+上分记录!CK1,赔率设置!CO6))</f>
        <v>0</v>
      </c>
      <c r="CL43">
        <f>IF(CL41="",0,ROUND(历史账单!CO1+上分记录!CL1,赔率设置!CP6))</f>
        <v>0</v>
      </c>
      <c r="CM43">
        <f>IF(CM41="",0,ROUND(历史账单!CP1+上分记录!CM1,赔率设置!CQ6))</f>
        <v>0</v>
      </c>
      <c r="CN43">
        <f>IF(CN41="",0,ROUND(历史账单!CQ1+上分记录!CN1,赔率设置!CR6))</f>
        <v>0</v>
      </c>
      <c r="CO43">
        <f>IF(CO41="",0,ROUND(历史账单!CR1+上分记录!CO1,赔率设置!CS6))</f>
        <v>0</v>
      </c>
      <c r="CP43">
        <f>IF(CP41="",0,ROUND(历史账单!CS1+上分记录!CP1,赔率设置!CT6))</f>
        <v>0</v>
      </c>
      <c r="CQ43">
        <f>IF(CQ41="",0,ROUND(历史账单!CT1+上分记录!CQ1,赔率设置!CU6))</f>
        <v>0</v>
      </c>
      <c r="CR43">
        <f>IF(CR41="",0,ROUND(历史账单!CU1+上分记录!CR1,赔率设置!CV6))</f>
        <v>0</v>
      </c>
      <c r="CS43">
        <f>IF(CS41="",0,ROUND(历史账单!CV1+上分记录!CS1,赔率设置!CW6))</f>
        <v>0</v>
      </c>
      <c r="CT43">
        <f>IF(CT41="",0,ROUND(历史账单!CW1+上分记录!CT1,赔率设置!CX6))</f>
        <v>0</v>
      </c>
      <c r="CU43">
        <f>IF(CU41="",0,ROUND(历史账单!CX1+上分记录!CU1,赔率设置!CY6))</f>
        <v>0</v>
      </c>
      <c r="CV43">
        <f>IF(CV41="",0,ROUND(历史账单!CY1+上分记录!CV1,赔率设置!CZ6))</f>
        <v>0</v>
      </c>
      <c r="CW43">
        <f>IF(CW41="",0,ROUND(历史账单!CZ1+上分记录!CW1,赔率设置!DA6))</f>
        <v>0</v>
      </c>
      <c r="CX43">
        <f>IF(CX41="",0,ROUND(历史账单!DA1+上分记录!CX1,赔率设置!DB6))</f>
        <v>0</v>
      </c>
      <c r="CY43">
        <f>IF(CY41="",0,ROUND(历史账单!DB1+上分记录!CY1,赔率设置!DC6))</f>
        <v>0</v>
      </c>
      <c r="CZ43">
        <f>IF(CZ41="",0,ROUND(历史账单!DC1+上分记录!CZ1,赔率设置!DD6))</f>
        <v>0</v>
      </c>
      <c r="DA43">
        <f>IF(DA41="",0,ROUND(历史账单!DD1+上分记录!DA1,赔率设置!DE6))</f>
        <v>0</v>
      </c>
      <c r="DB43">
        <f>IF(DB41="",0,ROUND(历史账单!DE1+上分记录!DB1,赔率设置!DF6))</f>
        <v>0</v>
      </c>
      <c r="DC43">
        <f>IF(DC41="",0,ROUND(历史账单!DF1+上分记录!DC1,赔率设置!DG6))</f>
        <v>0</v>
      </c>
      <c r="DD43">
        <f>IF(DD41="",0,ROUND(历史账单!DG1+上分记录!DD1,赔率设置!DH6))</f>
        <v>0</v>
      </c>
      <c r="DE43">
        <f>IF(DE41="",0,ROUND(历史账单!DH1+上分记录!DE1,赔率设置!DI6))</f>
        <v>0</v>
      </c>
      <c r="DF43">
        <f>IF(DF41="",0,ROUND(历史账单!DI1+上分记录!DF1,赔率设置!DJ6))</f>
        <v>0</v>
      </c>
      <c r="DG43">
        <f>IF(DG41="",0,ROUND(历史账单!DJ1+上分记录!DG1,赔率设置!DK6))</f>
        <v>0</v>
      </c>
      <c r="DH43">
        <f>IF(DH41="",0,ROUND(历史账单!DK1+上分记录!DH1,赔率设置!DL6))</f>
        <v>0</v>
      </c>
      <c r="DI43">
        <f>IF(DI41="",0,ROUND(历史账单!DL1+上分记录!DI1,赔率设置!DM6))</f>
        <v>0</v>
      </c>
      <c r="DJ43">
        <f>IF(DJ41="",0,ROUND(历史账单!DM1+上分记录!DJ1,赔率设置!DN6))</f>
        <v>0</v>
      </c>
      <c r="DK43">
        <f>IF(DK41="",0,ROUND(历史账单!DN1+上分记录!DK1,赔率设置!DO6))</f>
        <v>0</v>
      </c>
      <c r="DL43">
        <f>IF(DL41="",0,ROUND(历史账单!DO1+上分记录!DL1,赔率设置!DP6))</f>
        <v>0</v>
      </c>
      <c r="DM43">
        <f>IF(DM41="",0,ROUND(历史账单!DP1+上分记录!DM1,赔率设置!DQ6))</f>
        <v>0</v>
      </c>
      <c r="DN43">
        <f>IF(DN41="",0,ROUND(历史账单!DQ1+上分记录!DN1,赔率设置!DR6))</f>
        <v>0</v>
      </c>
      <c r="DO43">
        <f>IF(DO41="",0,ROUND(历史账单!DR1+上分记录!DO1,赔率设置!DS6))</f>
        <v>0</v>
      </c>
      <c r="DP43">
        <f>IF(DP41="",0,ROUND(历史账单!DS1+上分记录!DP1,赔率设置!DT6))</f>
        <v>0</v>
      </c>
      <c r="DQ43">
        <f>IF(DQ41="",0,ROUND(历史账单!DT1+上分记录!DQ1,赔率设置!DU6))</f>
        <v>0</v>
      </c>
      <c r="DR43">
        <f>IF(DR41="",0,ROUND(历史账单!DU1+上分记录!DR1,赔率设置!DV6))</f>
        <v>0</v>
      </c>
      <c r="DS43">
        <f>IF(DS41="",0,ROUND(历史账单!DV1+上分记录!DS1,赔率设置!DW6))</f>
        <v>0</v>
      </c>
      <c r="DT43">
        <f>IF(DT41="",0,ROUND(历史账单!DW1+上分记录!DT1,赔率设置!DX6))</f>
        <v>0</v>
      </c>
      <c r="DU43">
        <f>IF(DU41="",0,ROUND(历史账单!DX1+上分记录!DU1,赔率设置!DY6))</f>
        <v>0</v>
      </c>
      <c r="DV43">
        <f>IF(DV41="",0,ROUND(历史账单!DY1+上分记录!DV1,赔率设置!DZ6))</f>
        <v>0</v>
      </c>
      <c r="DW43">
        <f>IF(DW41="",0,ROUND(历史账单!DZ1+上分记录!DW1,赔率设置!EA6))</f>
        <v>0</v>
      </c>
      <c r="DX43">
        <f>IF(DX41="",0,ROUND(历史账单!EA1+上分记录!DX1,赔率设置!EB6))</f>
        <v>0</v>
      </c>
      <c r="DY43">
        <f>IF(DY41="",0,ROUND(历史账单!EB1+上分记录!DY1,赔率设置!EC6))</f>
        <v>0</v>
      </c>
      <c r="DZ43">
        <f>IF(DZ41="",0,ROUND(历史账单!EC1+上分记录!DZ1,赔率设置!ED6))</f>
        <v>0</v>
      </c>
      <c r="EA43">
        <f>IF(EA41="",0,ROUND(历史账单!ED1+上分记录!EA1,赔率设置!EE6))</f>
        <v>0</v>
      </c>
      <c r="EB43">
        <f>IF(EB41="",0,ROUND(历史账单!EE1+上分记录!EB1,赔率设置!EF6))</f>
        <v>0</v>
      </c>
      <c r="EC43">
        <f>IF(EC41="",0,ROUND(历史账单!EF1+上分记录!EC1,赔率设置!EG6))</f>
        <v>0</v>
      </c>
      <c r="ED43">
        <f>IF(ED41="",0,ROUND(历史账单!EG1+上分记录!ED1,赔率设置!EH6))</f>
        <v>0</v>
      </c>
      <c r="EE43">
        <f>IF(EE41="",0,ROUND(历史账单!EH1+上分记录!EE1,赔率设置!EI6))</f>
        <v>0</v>
      </c>
      <c r="EF43">
        <f>IF(EF41="",0,ROUND(历史账单!EI1+上分记录!EF1,赔率设置!EJ6))</f>
        <v>0</v>
      </c>
      <c r="EG43">
        <f>IF(EG41="",0,ROUND(历史账单!EJ1+上分记录!EG1,赔率设置!EK6))</f>
        <v>0</v>
      </c>
      <c r="EH43">
        <f>IF(EH41="",0,ROUND(历史账单!EK1+上分记录!EH1,赔率设置!EL6))</f>
        <v>0</v>
      </c>
      <c r="EI43">
        <f>IF(EI41="",0,ROUND(历史账单!EL1+上分记录!EI1,赔率设置!EM6))</f>
        <v>0</v>
      </c>
      <c r="EJ43">
        <f>IF(EJ41="",0,ROUND(历史账单!EM1+上分记录!EJ1,赔率设置!EN6))</f>
        <v>0</v>
      </c>
      <c r="EK43">
        <f>IF(EK41="",0,ROUND(历史账单!EN1+上分记录!EK1,赔率设置!EO6))</f>
        <v>0</v>
      </c>
      <c r="EL43">
        <f>IF(EL41="",0,ROUND(历史账单!EO1+上分记录!EL1,赔率设置!EP6))</f>
        <v>0</v>
      </c>
      <c r="EM43">
        <f>IF(EM41="",0,ROUND(历史账单!EP1+上分记录!EM1,赔率设置!EQ6))</f>
        <v>0</v>
      </c>
      <c r="EN43">
        <f>IF(EN41="",0,ROUND(历史账单!EQ1+上分记录!EN1,赔率设置!ER6))</f>
        <v>0</v>
      </c>
      <c r="EO43">
        <f>IF(EO41="",0,ROUND(历史账单!ER1+上分记录!EO1,赔率设置!ES6))</f>
        <v>0</v>
      </c>
      <c r="EP43">
        <f>IF(EP41="",0,ROUND(历史账单!ES1+上分记录!EP1,赔率设置!ET6))</f>
        <v>0</v>
      </c>
      <c r="EQ43">
        <f>IF(EQ41="",0,ROUND(历史账单!ET1+上分记录!EQ1,赔率设置!EU6))</f>
        <v>0</v>
      </c>
      <c r="ER43">
        <f>IF(ER41="",0,ROUND(历史账单!EU1+上分记录!ER1,赔率设置!EV6))</f>
        <v>0</v>
      </c>
      <c r="ES43">
        <f>IF(ES41="",0,ROUND(历史账单!EV1+上分记录!ES1,赔率设置!EW6))</f>
        <v>0</v>
      </c>
      <c r="ET43">
        <f>IF(ET41="",0,ROUND(历史账单!EW1+上分记录!ET1,赔率设置!EX6))</f>
        <v>0</v>
      </c>
      <c r="EU43">
        <f>IF(EU41="",0,ROUND(历史账单!EX1+上分记录!EU1,赔率设置!EY6))</f>
        <v>0</v>
      </c>
      <c r="EV43">
        <f>IF(EV41="",0,ROUND(历史账单!EY1+上分记录!EV1,赔率设置!EZ6))</f>
        <v>0</v>
      </c>
      <c r="EW43">
        <f>IF(EW41="",0,ROUND(历史账单!EZ1+上分记录!EW1,赔率设置!FA6))</f>
        <v>0</v>
      </c>
      <c r="EX43">
        <f>IF(EX41="",0,ROUND(历史账单!FA1+上分记录!EX1,赔率设置!FB6))</f>
        <v>0</v>
      </c>
      <c r="EY43">
        <f>IF(EY41="",0,ROUND(历史账单!FB1+上分记录!EY1,赔率设置!FC6))</f>
        <v>0</v>
      </c>
      <c r="EZ43">
        <f>IF(EZ41="",0,ROUND(历史账单!FC1+上分记录!EZ1,赔率设置!FD6))</f>
        <v>0</v>
      </c>
      <c r="FA43">
        <f>IF(FA41="",0,ROUND(历史账单!FD1+上分记录!FA1,赔率设置!FE6))</f>
        <v>0</v>
      </c>
      <c r="FB43">
        <f>IF(FB41="",0,ROUND(历史账单!FE1+上分记录!FB1,赔率设置!FF6))</f>
        <v>0</v>
      </c>
      <c r="FC43">
        <f>IF(FC41="",0,ROUND(历史账单!FF1+上分记录!FC1,赔率设置!FG6))</f>
        <v>0</v>
      </c>
      <c r="FD43">
        <f>IF(FD41="",0,ROUND(历史账单!FG1+上分记录!FD1,赔率设置!FH6))</f>
        <v>0</v>
      </c>
      <c r="FE43">
        <f>IF(FE41="",0,ROUND(历史账单!FH1+上分记录!FE1,赔率设置!FI6))</f>
        <v>0</v>
      </c>
      <c r="FF43">
        <f>IF(FF41="",0,ROUND(历史账单!FI1+上分记录!FF1,赔率设置!FJ6))</f>
        <v>0</v>
      </c>
      <c r="FG43">
        <f>IF(FG41="",0,ROUND(历史账单!FJ1+上分记录!FG1,赔率设置!FK6))</f>
        <v>0</v>
      </c>
      <c r="FH43">
        <f>IF(FH41="",0,ROUND(历史账单!FK1+上分记录!FH1,赔率设置!FL6))</f>
        <v>0</v>
      </c>
      <c r="FI43">
        <f>IF(FI41="",0,ROUND(历史账单!FL1+上分记录!FI1,赔率设置!FM6))</f>
        <v>0</v>
      </c>
      <c r="FJ43">
        <f>IF(FJ41="",0,ROUND(历史账单!FM1+上分记录!FJ1,赔率设置!FN6))</f>
        <v>0</v>
      </c>
      <c r="FK43">
        <f>IF(FK41="",0,ROUND(历史账单!FN1+上分记录!FK1,赔率设置!FO6))</f>
        <v>0</v>
      </c>
      <c r="FL43">
        <f>IF(FL41="",0,ROUND(历史账单!FO1+上分记录!FL1,赔率设置!FP6))</f>
        <v>0</v>
      </c>
      <c r="FM43">
        <f>IF(FM41="",0,ROUND(历史账单!FP1+上分记录!FM1,赔率设置!FQ6))</f>
        <v>0</v>
      </c>
      <c r="FN43">
        <f>IF(FN41="",0,ROUND(历史账单!FQ1+上分记录!FN1,赔率设置!FR6))</f>
        <v>0</v>
      </c>
      <c r="FO43">
        <f>IF(FO41="",0,ROUND(历史账单!FR1+上分记录!FO1,赔率设置!FS6))</f>
        <v>0</v>
      </c>
      <c r="FP43">
        <f>IF(FP41="",0,ROUND(历史账单!FS1+上分记录!FP1,赔率设置!FT6))</f>
        <v>0</v>
      </c>
      <c r="FQ43">
        <f>IF(FQ41="",0,ROUND(历史账单!FT1+上分记录!FQ1,赔率设置!FU6))</f>
        <v>0</v>
      </c>
      <c r="FR43">
        <f>IF(FR41="",0,ROUND(历史账单!FU1+上分记录!FR1,赔率设置!FV6))</f>
        <v>0</v>
      </c>
      <c r="FS43">
        <f>IF(FS41="",0,ROUND(历史账单!FV1+上分记录!FS1,赔率设置!FW6))</f>
        <v>0</v>
      </c>
      <c r="FT43">
        <f>IF(FT41="",0,ROUND(历史账单!FW1+上分记录!FT1,赔率设置!FX6))</f>
        <v>0</v>
      </c>
      <c r="FU43">
        <f>IF(FU41="",0,ROUND(历史账单!FX1+上分记录!FU1,赔率设置!FY6))</f>
        <v>0</v>
      </c>
      <c r="FV43">
        <f>IF(FV41="",0,ROUND(历史账单!FY1+上分记录!FV1,赔率设置!FZ6))</f>
        <v>0</v>
      </c>
      <c r="FW43">
        <f>IF(FW41="",0,ROUND(历史账单!FZ1+上分记录!FW1,赔率设置!GA6))</f>
        <v>0</v>
      </c>
      <c r="FX43">
        <f>IF(FX41="",0,ROUND(历史账单!GA1+上分记录!FX1,赔率设置!GB6))</f>
        <v>0</v>
      </c>
      <c r="FY43">
        <f>IF(FY41="",0,ROUND(历史账单!GB1+上分记录!FY1,赔率设置!GC6))</f>
        <v>0</v>
      </c>
      <c r="FZ43">
        <f>IF(FZ41="",0,ROUND(历史账单!GC1+上分记录!FZ1,赔率设置!GD6))</f>
        <v>0</v>
      </c>
      <c r="GA43">
        <f>IF(GA41="",0,ROUND(历史账单!GD1+上分记录!GA1,赔率设置!GE6))</f>
        <v>0</v>
      </c>
      <c r="GB43">
        <f>IF(GB41="",0,ROUND(历史账单!GE1+上分记录!GB1,赔率设置!GF6))</f>
        <v>0</v>
      </c>
      <c r="GC43">
        <f>IF(GC41="",0,ROUND(历史账单!GF1+上分记录!GC1,赔率设置!GG6))</f>
        <v>0</v>
      </c>
      <c r="GD43">
        <f>IF(GD41="",0,ROUND(历史账单!GG1+上分记录!GD1,赔率设置!GH6))</f>
        <v>0</v>
      </c>
      <c r="GE43">
        <f>IF(GE41="",0,ROUND(历史账单!GH1+上分记录!GE1,赔率设置!GI6))</f>
        <v>0</v>
      </c>
      <c r="GF43">
        <f>IF(GF41="",0,ROUND(历史账单!GI1+上分记录!GF1,赔率设置!GJ6))</f>
        <v>0</v>
      </c>
      <c r="GG43">
        <f>IF(GG41="",0,ROUND(历史账单!GJ1+上分记录!GG1,赔率设置!GK6))</f>
        <v>0</v>
      </c>
      <c r="GH43">
        <f>IF(GH41="",0,ROUND(历史账单!GK1+上分记录!GH1,赔率设置!GL6))</f>
        <v>0</v>
      </c>
      <c r="GI43">
        <f>IF(GI41="",0,ROUND(历史账单!GL1+上分记录!GI1,赔率设置!GM6))</f>
        <v>0</v>
      </c>
      <c r="GJ43">
        <f>IF(GJ41="",0,ROUND(历史账单!GM1+上分记录!GJ1,赔率设置!GN6))</f>
        <v>0</v>
      </c>
      <c r="GK43">
        <f>IF(GK41="",0,ROUND(历史账单!GN1+上分记录!GK1,赔率设置!GO6))</f>
        <v>0</v>
      </c>
      <c r="GL43">
        <f>IF(GL41="",0,ROUND(历史账单!GO1+上分记录!GL1,赔率设置!GP6))</f>
        <v>0</v>
      </c>
      <c r="GM43">
        <f>IF(GM41="",0,ROUND(历史账单!GP1+上分记录!GM1,赔率设置!GQ6))</f>
        <v>0</v>
      </c>
      <c r="GN43">
        <f>IF(GN41="",0,ROUND(历史账单!GQ1+上分记录!GN1,赔率设置!GR6))</f>
        <v>0</v>
      </c>
      <c r="GO43">
        <f>IF(GO41="",0,ROUND(历史账单!GR1+上分记录!GO1,赔率设置!GS6))</f>
        <v>0</v>
      </c>
      <c r="GP43">
        <f>IF(GP41="",0,ROUND(历史账单!GS1+上分记录!GP1,赔率设置!GT6))</f>
        <v>0</v>
      </c>
      <c r="GQ43">
        <f>IF(GQ41="",0,ROUND(历史账单!GT1+上分记录!GQ1,赔率设置!GU6))</f>
        <v>0</v>
      </c>
      <c r="GR43">
        <f>IF(GR41="",0,ROUND(历史账单!GU1+上分记录!GR1,赔率设置!GV6))</f>
        <v>0</v>
      </c>
      <c r="GS43">
        <f>IF(GS41="",0,ROUND(历史账单!GV1+上分记录!GS1,赔率设置!GW6))</f>
        <v>0</v>
      </c>
      <c r="GT43">
        <f>IF(GT41="",0,ROUND(历史账单!GW1+上分记录!GT1,赔率设置!GX6))</f>
        <v>0</v>
      </c>
      <c r="GU43">
        <f>IF(GU41="",0,ROUND(历史账单!GX1+上分记录!GU1,赔率设置!GY6))</f>
        <v>0</v>
      </c>
      <c r="GV43">
        <f>IF(GV41="",0,ROUND(历史账单!GY1+上分记录!GV1,赔率设置!GZ6))</f>
        <v>0</v>
      </c>
      <c r="GW43">
        <f>IF(GW41="",0,ROUND(历史账单!GZ1+上分记录!GW1,赔率设置!HA6))</f>
        <v>0</v>
      </c>
      <c r="GX43">
        <f>IF(GX41="",0,ROUND(历史账单!HA1+上分记录!GX1,赔率设置!HB6))</f>
        <v>0</v>
      </c>
      <c r="GY43">
        <f>IF(GY41="",0,ROUND(历史账单!HB1+上分记录!GY1,赔率设置!HC6))</f>
        <v>0</v>
      </c>
      <c r="GZ43">
        <f>IF(GZ41="",0,ROUND(历史账单!HC1+上分记录!GZ1,赔率设置!HD6))</f>
        <v>0</v>
      </c>
      <c r="HA43">
        <f>IF(HA41="",0,ROUND(历史账单!HD1+上分记录!HA1,赔率设置!HE6))</f>
        <v>0</v>
      </c>
      <c r="HB43">
        <f>IF(HB41="",0,ROUND(历史账单!HE1+上分记录!HB1,赔率设置!HF6))</f>
        <v>0</v>
      </c>
      <c r="HC43">
        <f>IF(HC41="",0,ROUND(历史账单!HF1+上分记录!HC1,赔率设置!HG6))</f>
        <v>0</v>
      </c>
      <c r="HD43">
        <f>IF(HD41="",0,ROUND(历史账单!HG1+上分记录!HD1,赔率设置!HH6))</f>
        <v>0</v>
      </c>
      <c r="HE43">
        <f>IF(HE41="",0,ROUND(历史账单!HH1+上分记录!HE1,赔率设置!HI6))</f>
        <v>0</v>
      </c>
      <c r="HF43">
        <f>IF(HF41="",0,ROUND(历史账单!HI1+上分记录!HF1,赔率设置!HJ6))</f>
        <v>0</v>
      </c>
      <c r="HG43">
        <f>IF(HG41="",0,ROUND(历史账单!HJ1+上分记录!HG1,赔率设置!HK6))</f>
        <v>0</v>
      </c>
      <c r="HH43">
        <f>IF(HH41="",0,ROUND(历史账单!HK1+上分记录!HH1,赔率设置!HL6))</f>
        <v>0</v>
      </c>
      <c r="HI43">
        <f>IF(HI41="",0,ROUND(历史账单!HL1+上分记录!HI1,赔率设置!HM6))</f>
        <v>0</v>
      </c>
      <c r="HJ43">
        <f>IF(HJ41="",0,ROUND(历史账单!HM1+上分记录!HJ1,赔率设置!HN6))</f>
        <v>0</v>
      </c>
    </row>
    <row r="44" spans="1:231" hidden="1" x14ac:dyDescent="0.25">
      <c r="A44" s="29" t="s">
        <v>69</v>
      </c>
      <c r="B44">
        <f>IF(B41="",0,ROUND(历史账单!E1+上分记录!B1-B6,赔率设置!F6))</f>
        <v>1005.7</v>
      </c>
      <c r="C44">
        <f>IF(C41="",0,ROUND(历史账单!F1+上分记录!C1-C6,赔率设置!G6))</f>
        <v>12</v>
      </c>
      <c r="D44">
        <f>IF(D41="",0,ROUND(历史账单!G1+上分记录!D1-D6,赔率设置!H6))</f>
        <v>-2</v>
      </c>
      <c r="E44">
        <f>IF(E41="",0,ROUND(历史账单!H1+上分记录!E1-E6,赔率设置!I6))</f>
        <v>2</v>
      </c>
      <c r="F44">
        <f>IF(F41="",0,ROUND(历史账单!I1+上分记录!F1-F6,赔率设置!J6))</f>
        <v>0</v>
      </c>
      <c r="G44">
        <f>IF(G41="",0,ROUND(历史账单!J1+上分记录!G1-G6,赔率设置!K6))</f>
        <v>100</v>
      </c>
      <c r="H44">
        <f>IF(H41="",0,ROUND(历史账单!K1+上分记录!H1-H6,赔率设置!L6))</f>
        <v>1000</v>
      </c>
      <c r="I44">
        <f>IF(I41="",0,ROUND(历史账单!L1+上分记录!I1-I6,赔率设置!M6))</f>
        <v>0</v>
      </c>
      <c r="J44">
        <f>IF(J41="",0,ROUND(历史账单!M1+上分记录!J1-J6,赔率设置!N6))</f>
        <v>0</v>
      </c>
      <c r="K44">
        <f>IF(K41="",0,ROUND(历史账单!N1+上分记录!K1-K6,赔率设置!O6))</f>
        <v>0</v>
      </c>
      <c r="L44">
        <f>IF(L41="",0,ROUND(历史账单!O1+上分记录!L1-L6,赔率设置!P6))</f>
        <v>50</v>
      </c>
      <c r="M44">
        <f>IF(M41="",0,ROUND(历史账单!P1+上分记录!M1-M6,赔率设置!Q6))</f>
        <v>5000</v>
      </c>
      <c r="N44">
        <f>IF(N41="",0,ROUND(历史账单!Q1+上分记录!N1-N6,赔率设置!R6))</f>
        <v>0</v>
      </c>
      <c r="O44">
        <f>IF(O41="",0,ROUND(历史账单!R1+上分记录!O1-O6,赔率设置!S6))</f>
        <v>0</v>
      </c>
      <c r="P44">
        <f>IF(P41="",0,ROUND(历史账单!S1+上分记录!P1-P6,赔率设置!T6))</f>
        <v>0</v>
      </c>
      <c r="Q44">
        <f>IF(Q41="",0,ROUND(历史账单!T1+上分记录!Q1-Q6,赔率设置!U6))</f>
        <v>0</v>
      </c>
      <c r="R44">
        <f>IF(R41="",0,ROUND(历史账单!U1+上分记录!R1-R6,赔率设置!V6))</f>
        <v>0</v>
      </c>
      <c r="S44">
        <f>IF(S41="",0,ROUND(历史账单!V1+上分记录!S1-S6,赔率设置!W6))</f>
        <v>0</v>
      </c>
      <c r="T44">
        <f>IF(T41="",0,ROUND(历史账单!W1+上分记录!T1-T6,赔率设置!X6))</f>
        <v>0</v>
      </c>
      <c r="U44">
        <f>IF(U41="",0,ROUND(历史账单!X1+上分记录!U1-U6,赔率设置!Y6))</f>
        <v>0</v>
      </c>
      <c r="V44">
        <f>IF(V41="",0,ROUND(历史账单!Y1+上分记录!V1-V6,赔率设置!Z6))</f>
        <v>0</v>
      </c>
      <c r="W44">
        <f>IF(W41="",0,ROUND(历史账单!Z1+上分记录!W1-W6,赔率设置!AA6))</f>
        <v>0</v>
      </c>
      <c r="X44">
        <f>IF(X41="",0,ROUND(历史账单!AA1+上分记录!X1-X6,赔率设置!AB6))</f>
        <v>0</v>
      </c>
      <c r="Y44">
        <f>IF(Y41="",0,ROUND(历史账单!AB1+上分记录!Y1-Y6,赔率设置!AC6))</f>
        <v>0</v>
      </c>
      <c r="Z44">
        <f>IF(Z41="",0,ROUND(历史账单!AC1+上分记录!Z1-Z6,赔率设置!AD6))</f>
        <v>0</v>
      </c>
      <c r="AA44">
        <f>IF(AA41="",0,ROUND(历史账单!AD1+上分记录!AA1-AA6,赔率设置!AE6))</f>
        <v>0</v>
      </c>
      <c r="AB44">
        <f>IF(AB41="",0,ROUND(历史账单!AE1+上分记录!AB1-AB6,赔率设置!AF6))</f>
        <v>0</v>
      </c>
      <c r="AC44">
        <f>IF(AC41="",0,ROUND(历史账单!AF1+上分记录!AC1-AC6,赔率设置!AG6))</f>
        <v>0</v>
      </c>
      <c r="AD44">
        <f>IF(AD41="",0,ROUND(历史账单!AG1+上分记录!AD1-AD6,赔率设置!AH6))</f>
        <v>0</v>
      </c>
      <c r="AE44">
        <f>IF(AE41="",0,ROUND(历史账单!AH1+上分记录!AE1-AE6,赔率设置!AI6))</f>
        <v>0</v>
      </c>
      <c r="AF44">
        <f>IF(AF41="",0,ROUND(历史账单!AI1+上分记录!AF1-AF6,赔率设置!AJ6))</f>
        <v>0</v>
      </c>
      <c r="AG44">
        <f>IF(AG41="",0,ROUND(历史账单!AJ1+上分记录!AG1-AG6,赔率设置!AK6))</f>
        <v>0</v>
      </c>
      <c r="AH44">
        <f>IF(AH41="",0,ROUND(历史账单!AK1+上分记录!AH1-AH6,赔率设置!AL6))</f>
        <v>0</v>
      </c>
      <c r="AI44">
        <f>IF(AI41="",0,ROUND(历史账单!AL1+上分记录!AI1-AI6,赔率设置!AM6))</f>
        <v>0</v>
      </c>
      <c r="AJ44">
        <f>IF(AJ41="",0,ROUND(历史账单!AM1+上分记录!AJ1-AJ6,赔率设置!AN6))</f>
        <v>0</v>
      </c>
      <c r="AK44">
        <f>IF(AK41="",0,ROUND(历史账单!AN1+上分记录!AK1-AK6,赔率设置!AO6))</f>
        <v>0</v>
      </c>
      <c r="AL44">
        <f>IF(AL41="",0,ROUND(历史账单!AO1+上分记录!AL1-AL6,赔率设置!AP6))</f>
        <v>0</v>
      </c>
      <c r="AM44">
        <f>IF(AM41="",0,ROUND(历史账单!AP1+上分记录!AM1-AM6,赔率设置!AQ6))</f>
        <v>0</v>
      </c>
      <c r="AN44">
        <f>IF(AN41="",0,ROUND(历史账单!AQ1+上分记录!AN1-AN6,赔率设置!AR6))</f>
        <v>0</v>
      </c>
      <c r="AO44">
        <f>IF(AO41="",0,ROUND(历史账单!AR1+上分记录!AO1-AO6,赔率设置!AS6))</f>
        <v>0</v>
      </c>
      <c r="AP44">
        <f>IF(AP41="",0,ROUND(历史账单!AS1+上分记录!AP1-AP6,赔率设置!AT6))</f>
        <v>0</v>
      </c>
      <c r="AQ44">
        <f>IF(AQ41="",0,ROUND(历史账单!AT1+上分记录!AQ1-AQ6,赔率设置!AU6))</f>
        <v>0</v>
      </c>
      <c r="AR44">
        <f>IF(AR41="",0,ROUND(历史账单!AU1+上分记录!AR1-AR6,赔率设置!AV6))</f>
        <v>0</v>
      </c>
      <c r="AS44">
        <f>IF(AS41="",0,ROUND(历史账单!AV1+上分记录!AS1-AS6,赔率设置!AW6))</f>
        <v>0</v>
      </c>
      <c r="AT44">
        <f>IF(AT41="",0,ROUND(历史账单!AW1+上分记录!AT1-AT6,赔率设置!AX6))</f>
        <v>0</v>
      </c>
      <c r="AU44">
        <f>IF(AU41="",0,ROUND(历史账单!AX1+上分记录!AU1-AU6,赔率设置!AY6))</f>
        <v>0</v>
      </c>
      <c r="AV44">
        <f>IF(AV41="",0,ROUND(历史账单!AY1+上分记录!AV1-AV6,赔率设置!AZ6))</f>
        <v>0</v>
      </c>
      <c r="AW44">
        <f>IF(AW41="",0,ROUND(历史账单!AZ1+上分记录!AW1-AW6,赔率设置!BA6))</f>
        <v>0</v>
      </c>
      <c r="AX44">
        <f>IF(AX41="",0,ROUND(历史账单!BA1+上分记录!AX1-AX6,赔率设置!BB6))</f>
        <v>0</v>
      </c>
      <c r="AY44">
        <f>IF(AY41="",0,ROUND(历史账单!BB1+上分记录!AY1-AY6,赔率设置!BC6))</f>
        <v>0</v>
      </c>
      <c r="AZ44">
        <f>IF(AZ41="",0,ROUND(历史账单!BC1+上分记录!AZ1-AZ6,赔率设置!BD6))</f>
        <v>0</v>
      </c>
      <c r="BA44">
        <f>IF(BA41="",0,ROUND(历史账单!BD1+上分记录!BA1-BA6,赔率设置!BE6))</f>
        <v>0</v>
      </c>
      <c r="BB44">
        <f>IF(BB41="",0,ROUND(历史账单!BE1+上分记录!BB1-BB6,赔率设置!BF6))</f>
        <v>0</v>
      </c>
      <c r="BC44">
        <f>IF(BC41="",0,ROUND(历史账单!BF1+上分记录!BC1-BC6,赔率设置!BG6))</f>
        <v>0</v>
      </c>
      <c r="BD44">
        <f>IF(BD41="",0,ROUND(历史账单!BG1+上分记录!BD1-BD6,赔率设置!BH6))</f>
        <v>0</v>
      </c>
      <c r="BE44">
        <f>IF(BE41="",0,ROUND(历史账单!BH1+上分记录!BE1-BE6,赔率设置!BI6))</f>
        <v>0</v>
      </c>
      <c r="BF44">
        <f>IF(BF41="",0,ROUND(历史账单!BI1+上分记录!BF1-BF6,赔率设置!BJ6))</f>
        <v>0</v>
      </c>
      <c r="BG44">
        <f>IF(BG41="",0,ROUND(历史账单!BJ1+上分记录!BG1-BG6,赔率设置!BK6))</f>
        <v>0</v>
      </c>
      <c r="BH44">
        <f>IF(BH41="",0,ROUND(历史账单!BK1+上分记录!BH1-BH6,赔率设置!BL6))</f>
        <v>0</v>
      </c>
      <c r="BI44">
        <f>IF(BI41="",0,ROUND(历史账单!BL1+上分记录!BI1-BI6,赔率设置!BM6))</f>
        <v>0</v>
      </c>
      <c r="BJ44">
        <f>IF(BJ41="",0,ROUND(历史账单!BM1+上分记录!BJ1-BJ6,赔率设置!BN6))</f>
        <v>0</v>
      </c>
      <c r="BK44">
        <f>IF(BK41="",0,ROUND(历史账单!BN1+上分记录!BK1-BK6,赔率设置!BO6))</f>
        <v>0</v>
      </c>
      <c r="BL44">
        <f>IF(BL41="",0,ROUND(历史账单!BO1+上分记录!BL1-BL6,赔率设置!BP6))</f>
        <v>0</v>
      </c>
      <c r="BM44">
        <f>IF(BM41="",0,ROUND(历史账单!BP1+上分记录!BM1-BM6,赔率设置!BQ6))</f>
        <v>0</v>
      </c>
      <c r="BN44">
        <f>IF(BN41="",0,ROUND(历史账单!BQ1+上分记录!BN1-BN6,赔率设置!BR6))</f>
        <v>0</v>
      </c>
      <c r="BO44">
        <f>IF(BO41="",0,ROUND(历史账单!BR1+上分记录!BO1-BO6,赔率设置!BS6))</f>
        <v>0</v>
      </c>
      <c r="BP44">
        <f>IF(BP41="",0,ROUND(历史账单!BS1+上分记录!BP1-BP6,赔率设置!BT6))</f>
        <v>0</v>
      </c>
      <c r="BQ44">
        <f>IF(BQ41="",0,ROUND(历史账单!BT1+上分记录!BQ1-BQ6,赔率设置!BU6))</f>
        <v>0</v>
      </c>
      <c r="BR44">
        <f>IF(BR41="",0,ROUND(历史账单!BU1+上分记录!BR1-BR6,赔率设置!BV6))</f>
        <v>0</v>
      </c>
      <c r="BS44">
        <f>IF(BS41="",0,ROUND(历史账单!BV1+上分记录!BS1-BS6,赔率设置!BW6))</f>
        <v>0</v>
      </c>
      <c r="BT44">
        <f>IF(BT41="",0,ROUND(历史账单!BW1+上分记录!BT1-BT6,赔率设置!BX6))</f>
        <v>0</v>
      </c>
      <c r="BU44">
        <f>IF(BU41="",0,ROUND(历史账单!BX1+上分记录!BU1-BU6,赔率设置!BY6))</f>
        <v>0</v>
      </c>
      <c r="BV44">
        <f>IF(BV41="",0,ROUND(历史账单!BY1+上分记录!BV1-BV6,赔率设置!BZ6))</f>
        <v>0</v>
      </c>
      <c r="BW44">
        <f>IF(BW41="",0,ROUND(历史账单!BZ1+上分记录!BW1-BW6,赔率设置!CA6))</f>
        <v>0</v>
      </c>
      <c r="BX44">
        <f>IF(BX41="",0,ROUND(历史账单!CA1+上分记录!BX1-BX6,赔率设置!CB6))</f>
        <v>0</v>
      </c>
      <c r="BY44">
        <f>IF(BY41="",0,ROUND(历史账单!CB1+上分记录!BY1-BY6,赔率设置!CC6))</f>
        <v>0</v>
      </c>
      <c r="BZ44">
        <f>IF(BZ41="",0,ROUND(历史账单!CC1+上分记录!BZ1-BZ6,赔率设置!CD6))</f>
        <v>0</v>
      </c>
      <c r="CA44">
        <f>IF(CA41="",0,ROUND(历史账单!CD1+上分记录!CA1-CA6,赔率设置!CE6))</f>
        <v>0</v>
      </c>
      <c r="CB44">
        <f>IF(CB41="",0,ROUND(历史账单!CE1+上分记录!CB1-CB6,赔率设置!CF6))</f>
        <v>0</v>
      </c>
      <c r="CC44">
        <f>IF(CC41="",0,ROUND(历史账单!CF1+上分记录!CC1-CC6,赔率设置!CG6))</f>
        <v>0</v>
      </c>
      <c r="CD44">
        <f>IF(CD41="",0,ROUND(历史账单!CG1+上分记录!CD1-CD6,赔率设置!CH6))</f>
        <v>0</v>
      </c>
      <c r="CE44">
        <f>IF(CE41="",0,ROUND(历史账单!CH1+上分记录!CE1-CE6,赔率设置!CI6))</f>
        <v>0</v>
      </c>
      <c r="CF44">
        <f>IF(CF41="",0,ROUND(历史账单!CI1+上分记录!CF1-CF6,赔率设置!CJ6))</f>
        <v>0</v>
      </c>
      <c r="CG44">
        <f>IF(CG41="",0,ROUND(历史账单!CJ1+上分记录!CG1-CG6,赔率设置!CK6))</f>
        <v>0</v>
      </c>
      <c r="CH44">
        <f>IF(CH41="",0,ROUND(历史账单!CK1+上分记录!CH1-CH6,赔率设置!CL6))</f>
        <v>0</v>
      </c>
      <c r="CI44">
        <f>IF(CI41="",0,ROUND(历史账单!CL1+上分记录!CI1-CI6,赔率设置!CM6))</f>
        <v>0</v>
      </c>
      <c r="CJ44">
        <f>IF(CJ41="",0,ROUND(历史账单!CM1+上分记录!CJ1-CJ6,赔率设置!CN6))</f>
        <v>0</v>
      </c>
      <c r="CK44">
        <f>IF(CK41="",0,ROUND(历史账单!CN1+上分记录!CK1-CK6,赔率设置!CO6))</f>
        <v>0</v>
      </c>
      <c r="CL44">
        <f>IF(CL41="",0,ROUND(历史账单!CO1+上分记录!CL1-CL6,赔率设置!CP6))</f>
        <v>0</v>
      </c>
      <c r="CM44">
        <f>IF(CM41="",0,ROUND(历史账单!CP1+上分记录!CM1-CM6,赔率设置!CQ6))</f>
        <v>0</v>
      </c>
      <c r="CN44">
        <f>IF(CN41="",0,ROUND(历史账单!CQ1+上分记录!CN1-CN6,赔率设置!CR6))</f>
        <v>0</v>
      </c>
      <c r="CO44">
        <f>IF(CO41="",0,ROUND(历史账单!CR1+上分记录!CO1-CO6,赔率设置!CS6))</f>
        <v>0</v>
      </c>
      <c r="CP44">
        <f>IF(CP41="",0,ROUND(历史账单!CS1+上分记录!CP1-CP6,赔率设置!CT6))</f>
        <v>0</v>
      </c>
      <c r="CQ44">
        <f>IF(CQ41="",0,ROUND(历史账单!CT1+上分记录!CQ1-CQ6,赔率设置!CU6))</f>
        <v>0</v>
      </c>
      <c r="CR44">
        <f>IF(CR41="",0,ROUND(历史账单!CU1+上分记录!CR1-CR6,赔率设置!CV6))</f>
        <v>0</v>
      </c>
      <c r="CS44">
        <f>IF(CS41="",0,ROUND(历史账单!CV1+上分记录!CS1-CS6,赔率设置!CW6))</f>
        <v>0</v>
      </c>
      <c r="CT44">
        <f>IF(CT41="",0,ROUND(历史账单!CW1+上分记录!CT1-CT6,赔率设置!CX6))</f>
        <v>0</v>
      </c>
      <c r="CU44">
        <f>IF(CU41="",0,ROUND(历史账单!CX1+上分记录!CU1-CU6,赔率设置!CY6))</f>
        <v>0</v>
      </c>
      <c r="CV44">
        <f>IF(CV41="",0,ROUND(历史账单!CY1+上分记录!CV1-CV6,赔率设置!CZ6))</f>
        <v>0</v>
      </c>
      <c r="CW44">
        <f>IF(CW41="",0,ROUND(历史账单!CZ1+上分记录!CW1-CW6,赔率设置!DA6))</f>
        <v>0</v>
      </c>
      <c r="CX44">
        <f>IF(CX41="",0,ROUND(历史账单!DA1+上分记录!CX1-CX6,赔率设置!DB6))</f>
        <v>0</v>
      </c>
      <c r="CY44">
        <f>IF(CY41="",0,ROUND(历史账单!DB1+上分记录!CY1-CY6,赔率设置!DC6))</f>
        <v>0</v>
      </c>
      <c r="CZ44">
        <f>IF(CZ41="",0,ROUND(历史账单!DC1+上分记录!CZ1-CZ6,赔率设置!DD6))</f>
        <v>0</v>
      </c>
      <c r="DA44">
        <f>IF(DA41="",0,ROUND(历史账单!DD1+上分记录!DA1-DA6,赔率设置!DE6))</f>
        <v>0</v>
      </c>
      <c r="DB44">
        <f>IF(DB41="",0,ROUND(历史账单!DE1+上分记录!DB1-DB6,赔率设置!DF6))</f>
        <v>0</v>
      </c>
      <c r="DC44">
        <f>IF(DC41="",0,ROUND(历史账单!DF1+上分记录!DC1-DC6,赔率设置!DG6))</f>
        <v>0</v>
      </c>
      <c r="DD44">
        <f>IF(DD41="",0,ROUND(历史账单!DG1+上分记录!DD1-DD6,赔率设置!DH6))</f>
        <v>0</v>
      </c>
      <c r="DE44">
        <f>IF(DE41="",0,ROUND(历史账单!DH1+上分记录!DE1-DE6,赔率设置!DI6))</f>
        <v>0</v>
      </c>
      <c r="DF44">
        <f>IF(DF41="",0,ROUND(历史账单!DI1+上分记录!DF1-DF6,赔率设置!DJ6))</f>
        <v>0</v>
      </c>
      <c r="DG44">
        <f>IF(DG41="",0,ROUND(历史账单!DJ1+上分记录!DG1-DG6,赔率设置!DK6))</f>
        <v>0</v>
      </c>
      <c r="DH44">
        <f>IF(DH41="",0,ROUND(历史账单!DK1+上分记录!DH1-DH6,赔率设置!DL6))</f>
        <v>0</v>
      </c>
      <c r="DI44">
        <f>IF(DI41="",0,ROUND(历史账单!DL1+上分记录!DI1-DI6,赔率设置!DM6))</f>
        <v>0</v>
      </c>
      <c r="DJ44">
        <f>IF(DJ41="",0,ROUND(历史账单!DM1+上分记录!DJ1-DJ6,赔率设置!DN6))</f>
        <v>0</v>
      </c>
      <c r="DK44">
        <f>IF(DK41="",0,ROUND(历史账单!DN1+上分记录!DK1-DK6,赔率设置!DO6))</f>
        <v>0</v>
      </c>
      <c r="DL44">
        <f>IF(DL41="",0,ROUND(历史账单!DO1+上分记录!DL1-DL6,赔率设置!DP6))</f>
        <v>0</v>
      </c>
      <c r="DM44">
        <f>IF(DM41="",0,ROUND(历史账单!DP1+上分记录!DM1-DM6,赔率设置!DQ6))</f>
        <v>0</v>
      </c>
      <c r="DN44">
        <f>IF(DN41="",0,ROUND(历史账单!DQ1+上分记录!DN1-DN6,赔率设置!DR6))</f>
        <v>0</v>
      </c>
      <c r="DO44">
        <f>IF(DO41="",0,ROUND(历史账单!DR1+上分记录!DO1-DO6,赔率设置!DS6))</f>
        <v>0</v>
      </c>
      <c r="DP44">
        <f>IF(DP41="",0,ROUND(历史账单!DS1+上分记录!DP1-DP6,赔率设置!DT6))</f>
        <v>0</v>
      </c>
      <c r="DQ44">
        <f>IF(DQ41="",0,ROUND(历史账单!DT1+上分记录!DQ1-DQ6,赔率设置!DU6))</f>
        <v>0</v>
      </c>
      <c r="DR44">
        <f>IF(DR41="",0,ROUND(历史账单!DU1+上分记录!DR1-DR6,赔率设置!DV6))</f>
        <v>0</v>
      </c>
      <c r="DS44">
        <f>IF(DS41="",0,ROUND(历史账单!DV1+上分记录!DS1-DS6,赔率设置!DW6))</f>
        <v>0</v>
      </c>
      <c r="DT44">
        <f>IF(DT41="",0,ROUND(历史账单!DW1+上分记录!DT1-DT6,赔率设置!DX6))</f>
        <v>0</v>
      </c>
      <c r="DU44">
        <f>IF(DU41="",0,ROUND(历史账单!DX1+上分记录!DU1-DU6,赔率设置!DY6))</f>
        <v>0</v>
      </c>
      <c r="DV44">
        <f>IF(DV41="",0,ROUND(历史账单!DY1+上分记录!DV1-DV6,赔率设置!DZ6))</f>
        <v>0</v>
      </c>
      <c r="DW44">
        <f>IF(DW41="",0,ROUND(历史账单!DZ1+上分记录!DW1-DW6,赔率设置!EA6))</f>
        <v>0</v>
      </c>
      <c r="DX44">
        <f>IF(DX41="",0,ROUND(历史账单!EA1+上分记录!DX1-DX6,赔率设置!EB6))</f>
        <v>0</v>
      </c>
      <c r="DY44">
        <f>IF(DY41="",0,ROUND(历史账单!EB1+上分记录!DY1-DY6,赔率设置!EC6))</f>
        <v>0</v>
      </c>
      <c r="DZ44">
        <f>IF(DZ41="",0,ROUND(历史账单!EC1+上分记录!DZ1-DZ6,赔率设置!ED6))</f>
        <v>0</v>
      </c>
      <c r="EA44">
        <f>IF(EA41="",0,ROUND(历史账单!ED1+上分记录!EA1-EA6,赔率设置!EE6))</f>
        <v>0</v>
      </c>
      <c r="EB44">
        <f>IF(EB41="",0,ROUND(历史账单!EE1+上分记录!EB1-EB6,赔率设置!EF6))</f>
        <v>0</v>
      </c>
      <c r="EC44">
        <f>IF(EC41="",0,ROUND(历史账单!EF1+上分记录!EC1-EC6,赔率设置!EG6))</f>
        <v>0</v>
      </c>
      <c r="ED44">
        <f>IF(ED41="",0,ROUND(历史账单!EG1+上分记录!ED1-ED6,赔率设置!EH6))</f>
        <v>0</v>
      </c>
      <c r="EE44">
        <f>IF(EE41="",0,ROUND(历史账单!EH1+上分记录!EE1-EE6,赔率设置!EI6))</f>
        <v>0</v>
      </c>
      <c r="EF44">
        <f>IF(EF41="",0,ROUND(历史账单!EI1+上分记录!EF1-EF6,赔率设置!EJ6))</f>
        <v>0</v>
      </c>
      <c r="EG44">
        <f>IF(EG41="",0,ROUND(历史账单!EJ1+上分记录!EG1-EG6,赔率设置!EK6))</f>
        <v>0</v>
      </c>
      <c r="EH44">
        <f>IF(EH41="",0,ROUND(历史账单!EK1+上分记录!EH1-EH6,赔率设置!EL6))</f>
        <v>0</v>
      </c>
      <c r="EI44">
        <f>IF(EI41="",0,ROUND(历史账单!EL1+上分记录!EI1-EI6,赔率设置!EM6))</f>
        <v>0</v>
      </c>
      <c r="EJ44">
        <f>IF(EJ41="",0,ROUND(历史账单!EM1+上分记录!EJ1-EJ6,赔率设置!EN6))</f>
        <v>0</v>
      </c>
      <c r="EK44">
        <f>IF(EK41="",0,ROUND(历史账单!EN1+上分记录!EK1-EK6,赔率设置!EO6))</f>
        <v>0</v>
      </c>
      <c r="EL44">
        <f>IF(EL41="",0,ROUND(历史账单!EO1+上分记录!EL1-EL6,赔率设置!EP6))</f>
        <v>0</v>
      </c>
      <c r="EM44">
        <f>IF(EM41="",0,ROUND(历史账单!EP1+上分记录!EM1-EM6,赔率设置!EQ6))</f>
        <v>0</v>
      </c>
      <c r="EN44">
        <f>IF(EN41="",0,ROUND(历史账单!EQ1+上分记录!EN1-EN6,赔率设置!ER6))</f>
        <v>0</v>
      </c>
      <c r="EO44">
        <f>IF(EO41="",0,ROUND(历史账单!ER1+上分记录!EO1-EO6,赔率设置!ES6))</f>
        <v>0</v>
      </c>
      <c r="EP44">
        <f>IF(EP41="",0,ROUND(历史账单!ES1+上分记录!EP1-EP6,赔率设置!ET6))</f>
        <v>0</v>
      </c>
      <c r="EQ44">
        <f>IF(EQ41="",0,ROUND(历史账单!ET1+上分记录!EQ1-EQ6,赔率设置!EU6))</f>
        <v>0</v>
      </c>
      <c r="ER44">
        <f>IF(ER41="",0,ROUND(历史账单!EU1+上分记录!ER1-ER6,赔率设置!EV6))</f>
        <v>0</v>
      </c>
      <c r="ES44">
        <f>IF(ES41="",0,ROUND(历史账单!EV1+上分记录!ES1-ES6,赔率设置!EW6))</f>
        <v>0</v>
      </c>
      <c r="ET44">
        <f>IF(ET41="",0,ROUND(历史账单!EW1+上分记录!ET1-ET6,赔率设置!EX6))</f>
        <v>0</v>
      </c>
      <c r="EU44">
        <f>IF(EU41="",0,ROUND(历史账单!EX1+上分记录!EU1-EU6,赔率设置!EY6))</f>
        <v>0</v>
      </c>
      <c r="EV44">
        <f>IF(EV41="",0,ROUND(历史账单!EY1+上分记录!EV1-EV6,赔率设置!EZ6))</f>
        <v>0</v>
      </c>
      <c r="EW44">
        <f>IF(EW41="",0,ROUND(历史账单!EZ1+上分记录!EW1-EW6,赔率设置!FA6))</f>
        <v>0</v>
      </c>
      <c r="EX44">
        <f>IF(EX41="",0,ROUND(历史账单!FA1+上分记录!EX1-EX6,赔率设置!FB6))</f>
        <v>0</v>
      </c>
      <c r="EY44">
        <f>IF(EY41="",0,ROUND(历史账单!FB1+上分记录!EY1-EY6,赔率设置!FC6))</f>
        <v>0</v>
      </c>
      <c r="EZ44">
        <f>IF(EZ41="",0,ROUND(历史账单!FC1+上分记录!EZ1-EZ6,赔率设置!FD6))</f>
        <v>0</v>
      </c>
      <c r="FA44">
        <f>IF(FA41="",0,ROUND(历史账单!FD1+上分记录!FA1-FA6,赔率设置!FE6))</f>
        <v>0</v>
      </c>
      <c r="FB44">
        <f>IF(FB41="",0,ROUND(历史账单!FE1+上分记录!FB1-FB6,赔率设置!FF6))</f>
        <v>0</v>
      </c>
      <c r="FC44">
        <f>IF(FC41="",0,ROUND(历史账单!FF1+上分记录!FC1-FC6,赔率设置!FG6))</f>
        <v>0</v>
      </c>
      <c r="FD44">
        <f>IF(FD41="",0,ROUND(历史账单!FG1+上分记录!FD1-FD6,赔率设置!FH6))</f>
        <v>0</v>
      </c>
      <c r="FE44">
        <f>IF(FE41="",0,ROUND(历史账单!FH1+上分记录!FE1-FE6,赔率设置!FI6))</f>
        <v>0</v>
      </c>
      <c r="FF44">
        <f>IF(FF41="",0,ROUND(历史账单!FI1+上分记录!FF1-FF6,赔率设置!FJ6))</f>
        <v>0</v>
      </c>
      <c r="FG44">
        <f>IF(FG41="",0,ROUND(历史账单!FJ1+上分记录!FG1-FG6,赔率设置!FK6))</f>
        <v>0</v>
      </c>
      <c r="FH44">
        <f>IF(FH41="",0,ROUND(历史账单!FK1+上分记录!FH1-FH6,赔率设置!FL6))</f>
        <v>0</v>
      </c>
      <c r="FI44">
        <f>IF(FI41="",0,ROUND(历史账单!FL1+上分记录!FI1-FI6,赔率设置!FM6))</f>
        <v>0</v>
      </c>
      <c r="FJ44">
        <f>IF(FJ41="",0,ROUND(历史账单!FM1+上分记录!FJ1-FJ6,赔率设置!FN6))</f>
        <v>0</v>
      </c>
      <c r="FK44">
        <f>IF(FK41="",0,ROUND(历史账单!FN1+上分记录!FK1-FK6,赔率设置!FO6))</f>
        <v>0</v>
      </c>
      <c r="FL44">
        <f>IF(FL41="",0,ROUND(历史账单!FO1+上分记录!FL1-FL6,赔率设置!FP6))</f>
        <v>0</v>
      </c>
      <c r="FM44">
        <f>IF(FM41="",0,ROUND(历史账单!FP1+上分记录!FM1-FM6,赔率设置!FQ6))</f>
        <v>0</v>
      </c>
      <c r="FN44">
        <f>IF(FN41="",0,ROUND(历史账单!FQ1+上分记录!FN1-FN6,赔率设置!FR6))</f>
        <v>0</v>
      </c>
      <c r="FO44">
        <f>IF(FO41="",0,ROUND(历史账单!FR1+上分记录!FO1-FO6,赔率设置!FS6))</f>
        <v>0</v>
      </c>
      <c r="FP44">
        <f>IF(FP41="",0,ROUND(历史账单!FS1+上分记录!FP1-FP6,赔率设置!FT6))</f>
        <v>0</v>
      </c>
      <c r="FQ44">
        <f>IF(FQ41="",0,ROUND(历史账单!FT1+上分记录!FQ1-FQ6,赔率设置!FU6))</f>
        <v>0</v>
      </c>
      <c r="FR44">
        <f>IF(FR41="",0,ROUND(历史账单!FU1+上分记录!FR1-FR6,赔率设置!FV6))</f>
        <v>0</v>
      </c>
      <c r="FS44">
        <f>IF(FS41="",0,ROUND(历史账单!FV1+上分记录!FS1-FS6,赔率设置!FW6))</f>
        <v>0</v>
      </c>
      <c r="FT44">
        <f>IF(FT41="",0,ROUND(历史账单!FW1+上分记录!FT1-FT6,赔率设置!FX6))</f>
        <v>0</v>
      </c>
      <c r="FU44">
        <f>IF(FU41="",0,ROUND(历史账单!FX1+上分记录!FU1-FU6,赔率设置!FY6))</f>
        <v>0</v>
      </c>
      <c r="FV44">
        <f>IF(FV41="",0,ROUND(历史账单!FY1+上分记录!FV1-FV6,赔率设置!FZ6))</f>
        <v>0</v>
      </c>
      <c r="FW44">
        <f>IF(FW41="",0,ROUND(历史账单!FZ1+上分记录!FW1-FW6,赔率设置!GA6))</f>
        <v>0</v>
      </c>
      <c r="FX44">
        <f>IF(FX41="",0,ROUND(历史账单!GA1+上分记录!FX1-FX6,赔率设置!GB6))</f>
        <v>0</v>
      </c>
      <c r="FY44">
        <f>IF(FY41="",0,ROUND(历史账单!GB1+上分记录!FY1-FY6,赔率设置!GC6))</f>
        <v>0</v>
      </c>
      <c r="FZ44">
        <f>IF(FZ41="",0,ROUND(历史账单!GC1+上分记录!FZ1-FZ6,赔率设置!GD6))</f>
        <v>0</v>
      </c>
      <c r="GA44">
        <f>IF(GA41="",0,ROUND(历史账单!GD1+上分记录!GA1-GA6,赔率设置!GE6))</f>
        <v>0</v>
      </c>
      <c r="GB44">
        <f>IF(GB41="",0,ROUND(历史账单!GE1+上分记录!GB1-GB6,赔率设置!GF6))</f>
        <v>0</v>
      </c>
      <c r="GC44">
        <f>IF(GC41="",0,ROUND(历史账单!GF1+上分记录!GC1-GC6,赔率设置!GG6))</f>
        <v>0</v>
      </c>
      <c r="GD44">
        <f>IF(GD41="",0,ROUND(历史账单!GG1+上分记录!GD1-GD6,赔率设置!GH6))</f>
        <v>0</v>
      </c>
      <c r="GE44">
        <f>IF(GE41="",0,ROUND(历史账单!GH1+上分记录!GE1-GE6,赔率设置!GI6))</f>
        <v>0</v>
      </c>
      <c r="GF44">
        <f>IF(GF41="",0,ROUND(历史账单!GI1+上分记录!GF1-GF6,赔率设置!GJ6))</f>
        <v>0</v>
      </c>
      <c r="GG44">
        <f>IF(GG41="",0,ROUND(历史账单!GJ1+上分记录!GG1-GG6,赔率设置!GK6))</f>
        <v>0</v>
      </c>
      <c r="GH44">
        <f>IF(GH41="",0,ROUND(历史账单!GK1+上分记录!GH1-GH6,赔率设置!GL6))</f>
        <v>0</v>
      </c>
      <c r="GI44">
        <f>IF(GI41="",0,ROUND(历史账单!GL1+上分记录!GI1-GI6,赔率设置!GM6))</f>
        <v>0</v>
      </c>
      <c r="GJ44">
        <f>IF(GJ41="",0,ROUND(历史账单!GM1+上分记录!GJ1-GJ6,赔率设置!GN6))</f>
        <v>0</v>
      </c>
      <c r="GK44">
        <f>IF(GK41="",0,ROUND(历史账单!GN1+上分记录!GK1-GK6,赔率设置!GO6))</f>
        <v>0</v>
      </c>
      <c r="GL44">
        <f>IF(GL41="",0,ROUND(历史账单!GO1+上分记录!GL1-GL6,赔率设置!GP6))</f>
        <v>0</v>
      </c>
      <c r="GM44">
        <f>IF(GM41="",0,ROUND(历史账单!GP1+上分记录!GM1-GM6,赔率设置!GQ6))</f>
        <v>0</v>
      </c>
      <c r="GN44">
        <f>IF(GN41="",0,ROUND(历史账单!GQ1+上分记录!GN1-GN6,赔率设置!GR6))</f>
        <v>0</v>
      </c>
      <c r="GO44">
        <f>IF(GO41="",0,ROUND(历史账单!GR1+上分记录!GO1-GO6,赔率设置!GS6))</f>
        <v>0</v>
      </c>
      <c r="GP44">
        <f>IF(GP41="",0,ROUND(历史账单!GS1+上分记录!GP1-GP6,赔率设置!GT6))</f>
        <v>0</v>
      </c>
      <c r="GQ44">
        <f>IF(GQ41="",0,ROUND(历史账单!GT1+上分记录!GQ1-GQ6,赔率设置!GU6))</f>
        <v>0</v>
      </c>
      <c r="GR44">
        <f>IF(GR41="",0,ROUND(历史账单!GU1+上分记录!GR1-GR6,赔率设置!GV6))</f>
        <v>0</v>
      </c>
      <c r="GS44">
        <f>IF(GS41="",0,ROUND(历史账单!GV1+上分记录!GS1-GS6,赔率设置!GW6))</f>
        <v>0</v>
      </c>
      <c r="GT44">
        <f>IF(GT41="",0,ROUND(历史账单!GW1+上分记录!GT1-GT6,赔率设置!GX6))</f>
        <v>0</v>
      </c>
      <c r="GU44">
        <f>IF(GU41="",0,ROUND(历史账单!GX1+上分记录!GU1-GU6,赔率设置!GY6))</f>
        <v>0</v>
      </c>
      <c r="GV44">
        <f>IF(GV41="",0,ROUND(历史账单!GY1+上分记录!GV1-GV6,赔率设置!GZ6))</f>
        <v>0</v>
      </c>
      <c r="GW44">
        <f>IF(GW41="",0,ROUND(历史账单!GZ1+上分记录!GW1-GW6,赔率设置!HA6))</f>
        <v>0</v>
      </c>
      <c r="GX44">
        <f>IF(GX41="",0,ROUND(历史账单!HA1+上分记录!GX1-GX6,赔率设置!HB6))</f>
        <v>0</v>
      </c>
      <c r="GY44">
        <f>IF(GY41="",0,ROUND(历史账单!HB1+上分记录!GY1-GY6,赔率设置!HC6))</f>
        <v>0</v>
      </c>
      <c r="GZ44">
        <f>IF(GZ41="",0,ROUND(历史账单!HC1+上分记录!GZ1-GZ6,赔率设置!HD6))</f>
        <v>0</v>
      </c>
      <c r="HA44">
        <f>IF(HA41="",0,ROUND(历史账单!HD1+上分记录!HA1-HA6,赔率设置!HE6))</f>
        <v>0</v>
      </c>
      <c r="HB44">
        <f>IF(HB41="",0,ROUND(历史账单!HE1+上分记录!HB1-HB6,赔率设置!HF6))</f>
        <v>0</v>
      </c>
      <c r="HC44">
        <f>IF(HC41="",0,ROUND(历史账单!HF1+上分记录!HC1-HC6,赔率设置!HG6))</f>
        <v>0</v>
      </c>
      <c r="HD44">
        <f>IF(HD41="",0,ROUND(历史账单!HG1+上分记录!HD1-HD6,赔率设置!HH6))</f>
        <v>0</v>
      </c>
      <c r="HE44">
        <f>IF(HE41="",0,ROUND(历史账单!HH1+上分记录!HE1-HE6,赔率设置!HI6))</f>
        <v>0</v>
      </c>
      <c r="HF44">
        <f>IF(HF41="",0,ROUND(历史账单!HI1+上分记录!HF1-HF6,赔率设置!HJ6))</f>
        <v>0</v>
      </c>
      <c r="HG44">
        <f>IF(HG41="",0,ROUND(历史账单!HJ1+上分记录!HG1-HG6,赔率设置!HK6))</f>
        <v>0</v>
      </c>
      <c r="HH44">
        <f>IF(HH41="",0,ROUND(历史账单!HK1+上分记录!HH1-HH6,赔率设置!HL6))</f>
        <v>0</v>
      </c>
      <c r="HI44">
        <f>IF(HI41="",0,ROUND(历史账单!HL1+上分记录!HI1-HI6,赔率设置!HM6))</f>
        <v>0</v>
      </c>
      <c r="HJ44">
        <f>IF(HJ41="",0,ROUND(历史账单!HM1+上分记录!HJ1-HJ6,赔率设置!HN6))</f>
        <v>0</v>
      </c>
    </row>
  </sheetData>
  <sheetProtection algorithmName="SHA-512" hashValue="FIgCYKvLmHd+rDnNOYVwRl0BMYDCUwyX0ppk8PgZ9K2x7+VGLQPNNQILwaKckFWpg2dfxhNc6Kjx+zD/bRhMrA==" saltValue="d+7XP63LuRkEJMJ8Z5b2ng==" spinCount="100000" sheet="1" objects="1" scenarios="1" selectLockedCells="1"/>
  <mergeCells count="5">
    <mergeCell ref="A1:H1"/>
    <mergeCell ref="N1:P1"/>
    <mergeCell ref="R1:S1"/>
    <mergeCell ref="B35:C35"/>
    <mergeCell ref="D35:E35"/>
  </mergeCells>
  <phoneticPr fontId="9" type="noConversion"/>
  <conditionalFormatting sqref="A36 B37:E37 E36:AE36">
    <cfRule type="cellIs" dxfId="6" priority="13" operator="greaterThan">
      <formula>0</formula>
    </cfRule>
  </conditionalFormatting>
  <conditionalFormatting sqref="A6:XFD7">
    <cfRule type="cellIs" dxfId="5" priority="9" operator="lessThan">
      <formula>0</formula>
    </cfRule>
    <cfRule type="cellIs" dxfId="4" priority="8" operator="greaterThan">
      <formula>0</formula>
    </cfRule>
  </conditionalFormatting>
  <conditionalFormatting sqref="A6:A7">
    <cfRule type="cellIs" dxfId="3" priority="7" operator="greaterThan">
      <formula>0</formula>
    </cfRule>
  </conditionalFormatting>
  <conditionalFormatting sqref="A4:XFD5">
    <cfRule type="cellIs" dxfId="2" priority="3" operator="between">
      <formula>0.00000001</formula>
      <formula>99999999999</formula>
    </cfRule>
    <cfRule type="cellIs" dxfId="1" priority="2" operator="lessThan">
      <formula>0</formula>
    </cfRule>
    <cfRule type="containsText" dxfId="0" priority="1" operator="containsText" text="见左">
      <formula>NOT(ISERROR(SEARCH("见左",A4)))</formula>
    </cfRule>
  </conditionalFormatting>
  <dataValidations count="2">
    <dataValidation type="whole" allowBlank="1" showInputMessage="1" showErrorMessage="1" errorTitle="格式错误" error="下注必须位整数" sqref="A8:AE33 AF33 AF8:XFD32 AH33:XFD33">
      <formula1>0</formula1>
      <formula2>1000000</formula2>
    </dataValidation>
    <dataValidation type="whole" allowBlank="1" showInputMessage="1" showErrorMessage="1" sqref="T1">
      <formula1>0</formula1>
      <formula2>1000000</formula2>
    </dataValidation>
  </dataValidations>
  <pageMargins left="0.75" right="0.75" top="1" bottom="1" header="0.51180555555555596" footer="0.51180555555555596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清空下注功能">
                <anchor moveWithCells="1" sizeWithCells="1">
                  <from>
                    <xdr:col>12</xdr:col>
                    <xdr:colOff>586740</xdr:colOff>
                    <xdr:row>0</xdr:row>
                    <xdr:rowOff>7620</xdr:rowOff>
                  </from>
                  <to>
                    <xdr:col>16</xdr:col>
                    <xdr:colOff>53340</xdr:colOff>
                    <xdr:row>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截图功能">
                <anchor moveWithCells="1" sizeWithCells="1">
                  <from>
                    <xdr:col>10</xdr:col>
                    <xdr:colOff>601980</xdr:colOff>
                    <xdr:row>0</xdr:row>
                    <xdr:rowOff>7620</xdr:rowOff>
                  </from>
                  <to>
                    <xdr:col>12</xdr:col>
                    <xdr:colOff>579120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I200"/>
  <sheetViews>
    <sheetView workbookViewId="0">
      <selection activeCell="D34" sqref="D34"/>
    </sheetView>
  </sheetViews>
  <sheetFormatPr defaultColWidth="8.88671875" defaultRowHeight="14.4" x14ac:dyDescent="0.25"/>
  <cols>
    <col min="1" max="1" width="8.88671875" style="26"/>
    <col min="2" max="16384" width="8.88671875" style="20"/>
  </cols>
  <sheetData>
    <row r="1" spans="1:269" s="21" customFormat="1" x14ac:dyDescent="0.25">
      <c r="A1" s="23" t="s">
        <v>65</v>
      </c>
      <c r="B1" s="21">
        <f>SUM(B3:B200)</f>
        <v>1000</v>
      </c>
      <c r="C1" s="21">
        <f t="shared" ref="C1:BN1" si="0">SUM(C3:C200)</f>
        <v>10</v>
      </c>
      <c r="D1" s="21">
        <f t="shared" si="0"/>
        <v>0</v>
      </c>
      <c r="E1" s="21">
        <f t="shared" si="0"/>
        <v>0</v>
      </c>
      <c r="F1" s="21">
        <f t="shared" si="0"/>
        <v>0</v>
      </c>
      <c r="G1" s="21">
        <f t="shared" si="0"/>
        <v>100</v>
      </c>
      <c r="H1" s="21">
        <f t="shared" si="0"/>
        <v>1000</v>
      </c>
      <c r="I1" s="21">
        <f t="shared" si="0"/>
        <v>0</v>
      </c>
      <c r="J1" s="21">
        <f t="shared" si="0"/>
        <v>0</v>
      </c>
      <c r="K1" s="21">
        <f t="shared" si="0"/>
        <v>0</v>
      </c>
      <c r="L1" s="21">
        <f t="shared" si="0"/>
        <v>50</v>
      </c>
      <c r="M1" s="21">
        <f t="shared" si="0"/>
        <v>5000</v>
      </c>
      <c r="N1" s="21">
        <f t="shared" si="0"/>
        <v>0</v>
      </c>
      <c r="O1" s="21">
        <f t="shared" si="0"/>
        <v>0</v>
      </c>
      <c r="P1" s="21">
        <f t="shared" si="0"/>
        <v>0</v>
      </c>
      <c r="Q1" s="21">
        <f t="shared" si="0"/>
        <v>0</v>
      </c>
      <c r="R1" s="21">
        <f t="shared" si="0"/>
        <v>0</v>
      </c>
      <c r="S1" s="21">
        <f t="shared" si="0"/>
        <v>0</v>
      </c>
      <c r="T1" s="21">
        <f t="shared" si="0"/>
        <v>0</v>
      </c>
      <c r="U1" s="21">
        <f t="shared" si="0"/>
        <v>0</v>
      </c>
      <c r="V1" s="21">
        <f t="shared" si="0"/>
        <v>0</v>
      </c>
      <c r="W1" s="21">
        <f t="shared" si="0"/>
        <v>0</v>
      </c>
      <c r="X1" s="21">
        <f t="shared" si="0"/>
        <v>0</v>
      </c>
      <c r="Y1" s="21">
        <f t="shared" si="0"/>
        <v>0</v>
      </c>
      <c r="Z1" s="21">
        <f t="shared" si="0"/>
        <v>0</v>
      </c>
      <c r="AA1" s="21">
        <f t="shared" si="0"/>
        <v>0</v>
      </c>
      <c r="AB1" s="21">
        <f t="shared" si="0"/>
        <v>0</v>
      </c>
      <c r="AC1" s="21">
        <f t="shared" si="0"/>
        <v>0</v>
      </c>
      <c r="AD1" s="21">
        <f t="shared" si="0"/>
        <v>0</v>
      </c>
      <c r="AE1" s="21">
        <f t="shared" si="0"/>
        <v>0</v>
      </c>
      <c r="AF1" s="21">
        <f t="shared" si="0"/>
        <v>0</v>
      </c>
      <c r="AG1" s="21">
        <f t="shared" si="0"/>
        <v>0</v>
      </c>
      <c r="AH1" s="21">
        <f t="shared" si="0"/>
        <v>0</v>
      </c>
      <c r="AI1" s="21">
        <f t="shared" si="0"/>
        <v>0</v>
      </c>
      <c r="AJ1" s="21">
        <f t="shared" si="0"/>
        <v>0</v>
      </c>
      <c r="AK1" s="21">
        <f t="shared" si="0"/>
        <v>0</v>
      </c>
      <c r="AL1" s="21">
        <f t="shared" si="0"/>
        <v>0</v>
      </c>
      <c r="AM1" s="21">
        <f t="shared" si="0"/>
        <v>0</v>
      </c>
      <c r="AN1" s="21">
        <f t="shared" si="0"/>
        <v>0</v>
      </c>
      <c r="AO1" s="21">
        <f t="shared" si="0"/>
        <v>0</v>
      </c>
      <c r="AP1" s="21">
        <f t="shared" si="0"/>
        <v>0</v>
      </c>
      <c r="AQ1" s="21">
        <f t="shared" si="0"/>
        <v>0</v>
      </c>
      <c r="AR1" s="21">
        <f t="shared" si="0"/>
        <v>0</v>
      </c>
      <c r="AS1" s="21">
        <f t="shared" si="0"/>
        <v>0</v>
      </c>
      <c r="AT1" s="21">
        <f t="shared" si="0"/>
        <v>0</v>
      </c>
      <c r="AU1" s="21">
        <f t="shared" si="0"/>
        <v>0</v>
      </c>
      <c r="AV1" s="21">
        <f t="shared" si="0"/>
        <v>0</v>
      </c>
      <c r="AW1" s="21">
        <f t="shared" si="0"/>
        <v>0</v>
      </c>
      <c r="AX1" s="21">
        <f t="shared" si="0"/>
        <v>0</v>
      </c>
      <c r="AY1" s="21">
        <f t="shared" si="0"/>
        <v>0</v>
      </c>
      <c r="AZ1" s="21">
        <f t="shared" si="0"/>
        <v>0</v>
      </c>
      <c r="BA1" s="21">
        <f t="shared" si="0"/>
        <v>0</v>
      </c>
      <c r="BB1" s="21">
        <f t="shared" si="0"/>
        <v>0</v>
      </c>
      <c r="BC1" s="21">
        <f t="shared" si="0"/>
        <v>0</v>
      </c>
      <c r="BD1" s="21">
        <f t="shared" si="0"/>
        <v>0</v>
      </c>
      <c r="BE1" s="21">
        <f t="shared" si="0"/>
        <v>0</v>
      </c>
      <c r="BF1" s="21">
        <f t="shared" si="0"/>
        <v>0</v>
      </c>
      <c r="BG1" s="21">
        <f t="shared" si="0"/>
        <v>0</v>
      </c>
      <c r="BH1" s="21">
        <f t="shared" si="0"/>
        <v>0</v>
      </c>
      <c r="BI1" s="21">
        <f t="shared" si="0"/>
        <v>0</v>
      </c>
      <c r="BJ1" s="21">
        <f t="shared" si="0"/>
        <v>0</v>
      </c>
      <c r="BK1" s="21">
        <f t="shared" si="0"/>
        <v>0</v>
      </c>
      <c r="BL1" s="21">
        <f t="shared" si="0"/>
        <v>0</v>
      </c>
      <c r="BM1" s="21">
        <f t="shared" si="0"/>
        <v>0</v>
      </c>
      <c r="BN1" s="21">
        <f t="shared" si="0"/>
        <v>0</v>
      </c>
      <c r="BO1" s="21">
        <f t="shared" ref="BO1:CX1" si="1">SUM(BO3:BO200)</f>
        <v>0</v>
      </c>
      <c r="BP1" s="21">
        <f t="shared" si="1"/>
        <v>0</v>
      </c>
      <c r="BQ1" s="21">
        <f t="shared" si="1"/>
        <v>0</v>
      </c>
      <c r="BR1" s="21">
        <f t="shared" si="1"/>
        <v>0</v>
      </c>
      <c r="BS1" s="21">
        <f t="shared" si="1"/>
        <v>0</v>
      </c>
      <c r="BT1" s="21">
        <f t="shared" si="1"/>
        <v>0</v>
      </c>
      <c r="BU1" s="21">
        <f t="shared" si="1"/>
        <v>0</v>
      </c>
      <c r="BV1" s="21">
        <f t="shared" si="1"/>
        <v>0</v>
      </c>
      <c r="BW1" s="21">
        <f t="shared" si="1"/>
        <v>0</v>
      </c>
      <c r="BX1" s="21">
        <f t="shared" si="1"/>
        <v>0</v>
      </c>
      <c r="BY1" s="21">
        <f t="shared" si="1"/>
        <v>0</v>
      </c>
      <c r="BZ1" s="21">
        <f t="shared" si="1"/>
        <v>0</v>
      </c>
      <c r="CA1" s="21">
        <f t="shared" si="1"/>
        <v>0</v>
      </c>
      <c r="CB1" s="21">
        <f t="shared" si="1"/>
        <v>0</v>
      </c>
      <c r="CC1" s="21">
        <f t="shared" si="1"/>
        <v>0</v>
      </c>
      <c r="CD1" s="21">
        <f t="shared" si="1"/>
        <v>0</v>
      </c>
      <c r="CE1" s="21">
        <f t="shared" si="1"/>
        <v>0</v>
      </c>
      <c r="CF1" s="21">
        <f t="shared" si="1"/>
        <v>0</v>
      </c>
      <c r="CG1" s="21">
        <f t="shared" si="1"/>
        <v>0</v>
      </c>
      <c r="CH1" s="21">
        <f t="shared" si="1"/>
        <v>0</v>
      </c>
      <c r="CI1" s="21">
        <f t="shared" si="1"/>
        <v>0</v>
      </c>
      <c r="CJ1" s="21">
        <f t="shared" si="1"/>
        <v>0</v>
      </c>
      <c r="CK1" s="21">
        <f t="shared" si="1"/>
        <v>0</v>
      </c>
      <c r="CL1" s="21">
        <f t="shared" si="1"/>
        <v>0</v>
      </c>
      <c r="CM1" s="21">
        <f t="shared" si="1"/>
        <v>0</v>
      </c>
      <c r="CN1" s="21">
        <f t="shared" si="1"/>
        <v>0</v>
      </c>
      <c r="CO1" s="21">
        <f t="shared" si="1"/>
        <v>0</v>
      </c>
      <c r="CP1" s="21">
        <f t="shared" si="1"/>
        <v>0</v>
      </c>
      <c r="CQ1" s="21">
        <f t="shared" si="1"/>
        <v>0</v>
      </c>
      <c r="CR1" s="21">
        <f t="shared" si="1"/>
        <v>0</v>
      </c>
      <c r="CS1" s="21">
        <f t="shared" si="1"/>
        <v>0</v>
      </c>
      <c r="CT1" s="21">
        <f t="shared" si="1"/>
        <v>0</v>
      </c>
      <c r="CU1" s="21">
        <f t="shared" si="1"/>
        <v>0</v>
      </c>
      <c r="CV1" s="21">
        <f t="shared" si="1"/>
        <v>0</v>
      </c>
      <c r="CW1" s="21">
        <f t="shared" si="1"/>
        <v>0</v>
      </c>
      <c r="CX1" s="21">
        <f t="shared" si="1"/>
        <v>0</v>
      </c>
    </row>
    <row r="2" spans="1:269" s="24" customFormat="1" x14ac:dyDescent="0.25">
      <c r="A2" s="16">
        <f>SUM(B1:CX1)</f>
        <v>7160</v>
      </c>
      <c r="B2" s="24" t="str">
        <f>TRIM(下注输入!B3)</f>
        <v>张三</v>
      </c>
      <c r="C2" s="24" t="str">
        <f>TRIM(下注输入!C3)</f>
        <v>张三</v>
      </c>
      <c r="D2" s="24" t="str">
        <f>TRIM(下注输入!D3)</f>
        <v>张三</v>
      </c>
      <c r="E2" s="24" t="str">
        <f>TRIM(下注输入!E3)</f>
        <v>张三</v>
      </c>
      <c r="F2" s="24" t="str">
        <f>TRIM(下注输入!F3)</f>
        <v>张三</v>
      </c>
      <c r="G2" s="24" t="str">
        <f>TRIM(下注输入!G3)</f>
        <v>李四</v>
      </c>
      <c r="H2" s="24" t="str">
        <f>TRIM(下注输入!H3)</f>
        <v>李四</v>
      </c>
      <c r="I2" s="24" t="str">
        <f>TRIM(下注输入!I3)</f>
        <v>李四</v>
      </c>
      <c r="J2" s="24" t="str">
        <f>TRIM(下注输入!J3)</f>
        <v>李四</v>
      </c>
      <c r="K2" s="24" t="str">
        <f>TRIM(下注输入!K3)</f>
        <v>李四</v>
      </c>
      <c r="L2" s="24" t="str">
        <f>TRIM(下注输入!L3)</f>
        <v>王二麻</v>
      </c>
      <c r="M2" s="24" t="str">
        <f>TRIM(下注输入!M3)</f>
        <v>王二麻</v>
      </c>
      <c r="N2" s="24" t="str">
        <f>TRIM(下注输入!N3)</f>
        <v>王二麻</v>
      </c>
      <c r="O2" s="24" t="str">
        <f>TRIM(下注输入!O3)</f>
        <v>王二麻</v>
      </c>
      <c r="P2" s="24" t="str">
        <f>TRIM(下注输入!P3)</f>
        <v>王二麻</v>
      </c>
      <c r="Q2" s="24" t="str">
        <f>TRIM(下注输入!Q3)</f>
        <v>111</v>
      </c>
      <c r="R2" s="24" t="str">
        <f>TRIM(下注输入!R3)</f>
        <v>111</v>
      </c>
      <c r="S2" s="24" t="str">
        <f>TRIM(下注输入!S3)</f>
        <v>111</v>
      </c>
      <c r="T2" s="24" t="str">
        <f>TRIM(下注输入!T3)</f>
        <v>222</v>
      </c>
      <c r="U2" s="24" t="str">
        <f>TRIM(下注输入!U3)</f>
        <v>333</v>
      </c>
      <c r="V2" s="24" t="str">
        <f>TRIM(下注输入!V3)</f>
        <v/>
      </c>
      <c r="W2" s="24" t="str">
        <f>TRIM(下注输入!W3)</f>
        <v/>
      </c>
      <c r="X2" s="24" t="str">
        <f>TRIM(下注输入!X3)</f>
        <v/>
      </c>
      <c r="Y2" s="24" t="str">
        <f>TRIM(下注输入!Y3)</f>
        <v/>
      </c>
      <c r="Z2" s="24" t="str">
        <f>TRIM(下注输入!Z3)</f>
        <v/>
      </c>
      <c r="AA2" s="24" t="str">
        <f>TRIM(下注输入!AA3)</f>
        <v/>
      </c>
      <c r="AB2" s="24" t="str">
        <f>TRIM(下注输入!AB3)</f>
        <v/>
      </c>
      <c r="AC2" s="24" t="str">
        <f>TRIM(下注输入!AC3)</f>
        <v/>
      </c>
      <c r="AD2" s="24" t="str">
        <f>TRIM(下注输入!AD3)</f>
        <v/>
      </c>
      <c r="AE2" s="24" t="str">
        <f>TRIM(下注输入!AE3)</f>
        <v/>
      </c>
      <c r="AF2" s="24" t="str">
        <f>TRIM(下注输入!AF3)</f>
        <v/>
      </c>
      <c r="AG2" s="24" t="str">
        <f>TRIM(下注输入!AG3)</f>
        <v/>
      </c>
      <c r="AH2" s="24" t="str">
        <f>TRIM(下注输入!AH3)</f>
        <v/>
      </c>
      <c r="AI2" s="24" t="str">
        <f>TRIM(下注输入!AI3)</f>
        <v/>
      </c>
      <c r="AJ2" s="24" t="str">
        <f>TRIM(下注输入!AJ3)</f>
        <v/>
      </c>
      <c r="AK2" s="24" t="str">
        <f>TRIM(下注输入!AK3)</f>
        <v/>
      </c>
      <c r="AL2" s="24" t="str">
        <f>TRIM(下注输入!AL3)</f>
        <v/>
      </c>
      <c r="AM2" s="24" t="str">
        <f>TRIM(下注输入!AM3)</f>
        <v/>
      </c>
      <c r="AN2" s="24" t="str">
        <f>TRIM(下注输入!AN3)</f>
        <v/>
      </c>
      <c r="AO2" s="24" t="str">
        <f>TRIM(下注输入!AO3)</f>
        <v/>
      </c>
      <c r="AP2" s="24" t="str">
        <f>TRIM(下注输入!AP3)</f>
        <v/>
      </c>
      <c r="AQ2" s="24" t="str">
        <f>TRIM(下注输入!AQ3)</f>
        <v/>
      </c>
      <c r="AR2" s="24" t="str">
        <f>TRIM(下注输入!AR3)</f>
        <v/>
      </c>
      <c r="AS2" s="24" t="str">
        <f>TRIM(下注输入!AS3)</f>
        <v/>
      </c>
      <c r="AT2" s="24" t="str">
        <f>TRIM(下注输入!AT3)</f>
        <v/>
      </c>
      <c r="AU2" s="24" t="str">
        <f>TRIM(下注输入!AU3)</f>
        <v/>
      </c>
      <c r="AV2" s="24" t="str">
        <f>TRIM(下注输入!AV3)</f>
        <v/>
      </c>
      <c r="AW2" s="24" t="str">
        <f>TRIM(下注输入!AW3)</f>
        <v/>
      </c>
      <c r="AX2" s="24" t="str">
        <f>TRIM(下注输入!AX3)</f>
        <v/>
      </c>
      <c r="AY2" s="24" t="str">
        <f>TRIM(下注输入!AY3)</f>
        <v/>
      </c>
      <c r="AZ2" s="24" t="str">
        <f>TRIM(下注输入!AZ3)</f>
        <v/>
      </c>
      <c r="BA2" s="24" t="str">
        <f>TRIM(下注输入!BA3)</f>
        <v/>
      </c>
      <c r="BB2" s="24" t="str">
        <f>TRIM(下注输入!BB3)</f>
        <v/>
      </c>
      <c r="BC2" s="24" t="str">
        <f>TRIM(下注输入!BC3)</f>
        <v/>
      </c>
      <c r="BD2" s="24" t="str">
        <f>TRIM(下注输入!BD3)</f>
        <v/>
      </c>
      <c r="BE2" s="24" t="str">
        <f>TRIM(下注输入!BE3)</f>
        <v/>
      </c>
      <c r="BF2" s="24" t="str">
        <f>TRIM(下注输入!BF3)</f>
        <v/>
      </c>
      <c r="BG2" s="24" t="str">
        <f>TRIM(下注输入!BG3)</f>
        <v/>
      </c>
      <c r="BH2" s="24" t="str">
        <f>TRIM(下注输入!BH3)</f>
        <v/>
      </c>
      <c r="BI2" s="24" t="str">
        <f>TRIM(下注输入!BI3)</f>
        <v/>
      </c>
      <c r="BJ2" s="24" t="str">
        <f>TRIM(下注输入!BJ3)</f>
        <v/>
      </c>
      <c r="BK2" s="24" t="str">
        <f>TRIM(下注输入!BK3)</f>
        <v/>
      </c>
      <c r="BL2" s="24" t="str">
        <f>TRIM(下注输入!BL3)</f>
        <v/>
      </c>
      <c r="BM2" s="24" t="str">
        <f>TRIM(下注输入!BM3)</f>
        <v/>
      </c>
      <c r="BN2" s="24" t="str">
        <f>TRIM(下注输入!BN3)</f>
        <v/>
      </c>
      <c r="BO2" s="24" t="str">
        <f>TRIM(下注输入!BO3)</f>
        <v/>
      </c>
      <c r="BP2" s="24" t="str">
        <f>TRIM(下注输入!BP3)</f>
        <v/>
      </c>
      <c r="BQ2" s="24" t="str">
        <f>TRIM(下注输入!BQ3)</f>
        <v/>
      </c>
      <c r="BR2" s="24" t="str">
        <f>TRIM(下注输入!BR3)</f>
        <v/>
      </c>
      <c r="BS2" s="24" t="str">
        <f>TRIM(下注输入!BS3)</f>
        <v/>
      </c>
      <c r="BT2" s="24" t="str">
        <f>TRIM(下注输入!BT3)</f>
        <v/>
      </c>
      <c r="BU2" s="24" t="str">
        <f>TRIM(下注输入!BU3)</f>
        <v/>
      </c>
      <c r="BV2" s="24" t="str">
        <f>TRIM(下注输入!BV3)</f>
        <v/>
      </c>
      <c r="BW2" s="24" t="str">
        <f>TRIM(下注输入!BW3)</f>
        <v/>
      </c>
      <c r="BX2" s="24" t="str">
        <f>TRIM(下注输入!BX3)</f>
        <v/>
      </c>
      <c r="BY2" s="24" t="str">
        <f>TRIM(下注输入!BY3)</f>
        <v/>
      </c>
      <c r="BZ2" s="24" t="str">
        <f>TRIM(下注输入!BZ3)</f>
        <v/>
      </c>
      <c r="CA2" s="24" t="str">
        <f>TRIM(下注输入!CA3)</f>
        <v/>
      </c>
      <c r="CB2" s="24" t="str">
        <f>TRIM(下注输入!CB3)</f>
        <v/>
      </c>
      <c r="CC2" s="24" t="str">
        <f>TRIM(下注输入!CC3)</f>
        <v/>
      </c>
      <c r="CD2" s="24" t="str">
        <f>TRIM(下注输入!CD3)</f>
        <v/>
      </c>
      <c r="CE2" s="24" t="str">
        <f>TRIM(下注输入!CE3)</f>
        <v/>
      </c>
      <c r="CF2" s="24" t="str">
        <f>TRIM(下注输入!CF3)</f>
        <v/>
      </c>
      <c r="CG2" s="24" t="str">
        <f>TRIM(下注输入!CG3)</f>
        <v/>
      </c>
      <c r="CH2" s="24" t="str">
        <f>TRIM(下注输入!CH3)</f>
        <v/>
      </c>
      <c r="CI2" s="24" t="str">
        <f>TRIM(下注输入!CI3)</f>
        <v/>
      </c>
      <c r="CJ2" s="24" t="str">
        <f>TRIM(下注输入!CJ3)</f>
        <v/>
      </c>
      <c r="CK2" s="24" t="str">
        <f>TRIM(下注输入!CK3)</f>
        <v/>
      </c>
      <c r="CL2" s="24" t="str">
        <f>TRIM(下注输入!CL3)</f>
        <v/>
      </c>
      <c r="CM2" s="24" t="str">
        <f>TRIM(下注输入!CM3)</f>
        <v/>
      </c>
      <c r="CN2" s="24" t="str">
        <f>TRIM(下注输入!CN3)</f>
        <v/>
      </c>
      <c r="CO2" s="24" t="str">
        <f>TRIM(下注输入!CO3)</f>
        <v/>
      </c>
      <c r="CP2" s="24" t="str">
        <f>TRIM(下注输入!CP3)</f>
        <v/>
      </c>
      <c r="CQ2" s="24" t="str">
        <f>TRIM(下注输入!CQ3)</f>
        <v/>
      </c>
      <c r="CR2" s="24" t="str">
        <f>TRIM(下注输入!CR3)</f>
        <v/>
      </c>
      <c r="CS2" s="24" t="str">
        <f>TRIM(下注输入!CS3)</f>
        <v/>
      </c>
      <c r="CT2" s="24" t="str">
        <f>TRIM(下注输入!CT3)</f>
        <v/>
      </c>
      <c r="CU2" s="24" t="str">
        <f>TRIM(下注输入!CU3)</f>
        <v/>
      </c>
      <c r="CV2" s="24" t="str">
        <f>TRIM(下注输入!CV3)</f>
        <v/>
      </c>
      <c r="CW2" s="24" t="str">
        <f>TRIM(下注输入!CW3)</f>
        <v/>
      </c>
      <c r="CX2" s="24" t="str">
        <f>TRIM(下注输入!CX3)</f>
        <v/>
      </c>
      <c r="CY2" s="24" t="str">
        <f>TRIM(下注输入!CY3)</f>
        <v/>
      </c>
      <c r="CZ2" s="24" t="str">
        <f>TRIM(下注输入!CZ3)</f>
        <v/>
      </c>
      <c r="DA2" s="24" t="str">
        <f>TRIM(下注输入!DA3)</f>
        <v/>
      </c>
      <c r="DB2" s="24" t="str">
        <f>TRIM(下注输入!DB3)</f>
        <v/>
      </c>
      <c r="DC2" s="24" t="str">
        <f>TRIM(下注输入!DC3)</f>
        <v/>
      </c>
      <c r="DD2" s="24" t="str">
        <f>TRIM(下注输入!DD3)</f>
        <v/>
      </c>
      <c r="DE2" s="24" t="str">
        <f>TRIM(下注输入!DE3)</f>
        <v/>
      </c>
      <c r="DF2" s="24" t="str">
        <f>TRIM(下注输入!DF3)</f>
        <v/>
      </c>
      <c r="DG2" s="24" t="str">
        <f>TRIM(下注输入!DG3)</f>
        <v/>
      </c>
      <c r="DH2" s="24" t="str">
        <f>TRIM(下注输入!DH3)</f>
        <v/>
      </c>
      <c r="DI2" s="24" t="str">
        <f>TRIM(下注输入!DI3)</f>
        <v/>
      </c>
      <c r="DJ2" s="24" t="str">
        <f>TRIM(下注输入!DJ3)</f>
        <v/>
      </c>
      <c r="DK2" s="24" t="str">
        <f>TRIM(下注输入!DK3)</f>
        <v/>
      </c>
      <c r="DL2" s="24" t="str">
        <f>TRIM(下注输入!DL3)</f>
        <v/>
      </c>
      <c r="DM2" s="24" t="str">
        <f>TRIM(下注输入!DM3)</f>
        <v/>
      </c>
      <c r="DN2" s="24" t="str">
        <f>TRIM(下注输入!DN3)</f>
        <v/>
      </c>
      <c r="DO2" s="24" t="str">
        <f>TRIM(下注输入!DO3)</f>
        <v/>
      </c>
      <c r="DP2" s="24" t="str">
        <f>TRIM(下注输入!DP3)</f>
        <v/>
      </c>
      <c r="DQ2" s="24" t="str">
        <f>TRIM(下注输入!DQ3)</f>
        <v/>
      </c>
      <c r="DR2" s="24" t="str">
        <f>TRIM(下注输入!DR3)</f>
        <v/>
      </c>
      <c r="DS2" s="24" t="str">
        <f>TRIM(下注输入!DS3)</f>
        <v/>
      </c>
      <c r="DT2" s="24" t="str">
        <f>TRIM(下注输入!DT3)</f>
        <v/>
      </c>
      <c r="DU2" s="24" t="str">
        <f>TRIM(下注输入!DU3)</f>
        <v/>
      </c>
      <c r="DV2" s="24" t="str">
        <f>TRIM(下注输入!DV3)</f>
        <v/>
      </c>
      <c r="DW2" s="24" t="str">
        <f>TRIM(下注输入!DW3)</f>
        <v/>
      </c>
      <c r="DX2" s="24" t="str">
        <f>TRIM(下注输入!DX3)</f>
        <v/>
      </c>
      <c r="DY2" s="24" t="str">
        <f>TRIM(下注输入!DY3)</f>
        <v/>
      </c>
      <c r="DZ2" s="24" t="str">
        <f>TRIM(下注输入!DZ3)</f>
        <v/>
      </c>
      <c r="EA2" s="24" t="str">
        <f>TRIM(下注输入!EA3)</f>
        <v/>
      </c>
      <c r="EB2" s="24" t="str">
        <f>TRIM(下注输入!EB3)</f>
        <v/>
      </c>
      <c r="EC2" s="24" t="str">
        <f>TRIM(下注输入!EC3)</f>
        <v/>
      </c>
      <c r="ED2" s="24" t="str">
        <f>TRIM(下注输入!ED3)</f>
        <v/>
      </c>
      <c r="EE2" s="24" t="str">
        <f>TRIM(下注输入!EE3)</f>
        <v/>
      </c>
      <c r="EF2" s="24" t="str">
        <f>TRIM(下注输入!EF3)</f>
        <v/>
      </c>
      <c r="EG2" s="24" t="str">
        <f>TRIM(下注输入!EG3)</f>
        <v/>
      </c>
      <c r="EH2" s="24" t="str">
        <f>TRIM(下注输入!EH3)</f>
        <v/>
      </c>
      <c r="EI2" s="24" t="str">
        <f>TRIM(下注输入!EI3)</f>
        <v/>
      </c>
      <c r="EJ2" s="24" t="str">
        <f>TRIM(下注输入!EJ3)</f>
        <v/>
      </c>
      <c r="EK2" s="24" t="str">
        <f>TRIM(下注输入!EK3)</f>
        <v/>
      </c>
      <c r="EL2" s="24" t="str">
        <f>TRIM(下注输入!EL3)</f>
        <v/>
      </c>
      <c r="EM2" s="24" t="str">
        <f>TRIM(下注输入!EM3)</f>
        <v/>
      </c>
      <c r="EN2" s="24" t="str">
        <f>TRIM(下注输入!EN3)</f>
        <v/>
      </c>
      <c r="EO2" s="24" t="str">
        <f>TRIM(下注输入!EO3)</f>
        <v/>
      </c>
      <c r="EP2" s="24" t="str">
        <f>TRIM(下注输入!EP3)</f>
        <v/>
      </c>
      <c r="EQ2" s="24" t="str">
        <f>TRIM(下注输入!EQ3)</f>
        <v/>
      </c>
      <c r="ER2" s="24" t="str">
        <f>TRIM(下注输入!ER3)</f>
        <v/>
      </c>
      <c r="ES2" s="24" t="str">
        <f>TRIM(下注输入!ES3)</f>
        <v/>
      </c>
      <c r="ET2" s="24" t="str">
        <f>TRIM(下注输入!ET3)</f>
        <v/>
      </c>
      <c r="EU2" s="24" t="str">
        <f>TRIM(下注输入!EU3)</f>
        <v/>
      </c>
      <c r="EV2" s="24" t="str">
        <f>TRIM(下注输入!EV3)</f>
        <v/>
      </c>
      <c r="EW2" s="24" t="str">
        <f>TRIM(下注输入!EW3)</f>
        <v/>
      </c>
      <c r="EX2" s="24" t="str">
        <f>TRIM(下注输入!EX3)</f>
        <v/>
      </c>
      <c r="EY2" s="24" t="str">
        <f>TRIM(下注输入!EY3)</f>
        <v/>
      </c>
      <c r="EZ2" s="24" t="str">
        <f>TRIM(下注输入!EZ3)</f>
        <v/>
      </c>
      <c r="FA2" s="24" t="str">
        <f>TRIM(下注输入!FA3)</f>
        <v/>
      </c>
      <c r="FB2" s="24" t="str">
        <f>TRIM(下注输入!FB3)</f>
        <v/>
      </c>
      <c r="FC2" s="24" t="str">
        <f>TRIM(下注输入!FC3)</f>
        <v/>
      </c>
      <c r="FD2" s="24" t="str">
        <f>TRIM(下注输入!FD3)</f>
        <v/>
      </c>
      <c r="FE2" s="24" t="str">
        <f>TRIM(下注输入!FE3)</f>
        <v/>
      </c>
      <c r="FF2" s="24" t="str">
        <f>TRIM(下注输入!FF3)</f>
        <v/>
      </c>
      <c r="FG2" s="24" t="str">
        <f>TRIM(下注输入!FG3)</f>
        <v/>
      </c>
      <c r="FH2" s="24" t="str">
        <f>TRIM(下注输入!FH3)</f>
        <v/>
      </c>
      <c r="FI2" s="24" t="str">
        <f>TRIM(下注输入!FI3)</f>
        <v/>
      </c>
      <c r="FJ2" s="24" t="str">
        <f>TRIM(下注输入!FJ3)</f>
        <v/>
      </c>
      <c r="FK2" s="24" t="str">
        <f>TRIM(下注输入!FK3)</f>
        <v/>
      </c>
      <c r="FL2" s="24" t="str">
        <f>TRIM(下注输入!FL3)</f>
        <v/>
      </c>
      <c r="FM2" s="24" t="str">
        <f>TRIM(下注输入!FM3)</f>
        <v/>
      </c>
      <c r="FN2" s="24" t="str">
        <f>TRIM(下注输入!FN3)</f>
        <v/>
      </c>
      <c r="FO2" s="24" t="str">
        <f>TRIM(下注输入!FO3)</f>
        <v/>
      </c>
      <c r="FP2" s="24" t="str">
        <f>TRIM(下注输入!FP3)</f>
        <v/>
      </c>
      <c r="FQ2" s="24" t="str">
        <f>TRIM(下注输入!FQ3)</f>
        <v/>
      </c>
      <c r="FR2" s="24" t="str">
        <f>TRIM(下注输入!FR3)</f>
        <v/>
      </c>
      <c r="FS2" s="24" t="str">
        <f>TRIM(下注输入!FS3)</f>
        <v/>
      </c>
      <c r="FT2" s="24" t="str">
        <f>TRIM(下注输入!FT3)</f>
        <v/>
      </c>
      <c r="FU2" s="24" t="str">
        <f>TRIM(下注输入!FU3)</f>
        <v/>
      </c>
      <c r="FV2" s="24" t="str">
        <f>TRIM(下注输入!FV3)</f>
        <v/>
      </c>
      <c r="FW2" s="24" t="str">
        <f>TRIM(下注输入!FW3)</f>
        <v/>
      </c>
      <c r="FX2" s="24" t="str">
        <f>TRIM(下注输入!FX3)</f>
        <v/>
      </c>
      <c r="FY2" s="24" t="str">
        <f>TRIM(下注输入!FY3)</f>
        <v/>
      </c>
      <c r="FZ2" s="24" t="str">
        <f>TRIM(下注输入!FZ3)</f>
        <v/>
      </c>
      <c r="GA2" s="24" t="str">
        <f>TRIM(下注输入!GA3)</f>
        <v/>
      </c>
      <c r="GB2" s="24" t="str">
        <f>TRIM(下注输入!GB3)</f>
        <v/>
      </c>
      <c r="GC2" s="24" t="str">
        <f>TRIM(下注输入!GC3)</f>
        <v/>
      </c>
      <c r="GD2" s="24" t="str">
        <f>TRIM(下注输入!GD3)</f>
        <v/>
      </c>
      <c r="GE2" s="24" t="str">
        <f>TRIM(下注输入!GE3)</f>
        <v/>
      </c>
      <c r="GF2" s="24" t="str">
        <f>TRIM(下注输入!GF3)</f>
        <v/>
      </c>
      <c r="GG2" s="24" t="str">
        <f>TRIM(下注输入!GG3)</f>
        <v/>
      </c>
      <c r="GH2" s="24" t="str">
        <f>TRIM(下注输入!GH3)</f>
        <v/>
      </c>
      <c r="GI2" s="24" t="str">
        <f>TRIM(下注输入!GI3)</f>
        <v/>
      </c>
      <c r="GJ2" s="24" t="str">
        <f>TRIM(下注输入!GJ3)</f>
        <v/>
      </c>
      <c r="GK2" s="24" t="str">
        <f>TRIM(下注输入!GK3)</f>
        <v/>
      </c>
      <c r="GL2" s="24" t="str">
        <f>TRIM(下注输入!GL3)</f>
        <v/>
      </c>
      <c r="GM2" s="24" t="str">
        <f>TRIM(下注输入!GM3)</f>
        <v/>
      </c>
      <c r="GN2" s="24" t="str">
        <f>TRIM(下注输入!GN3)</f>
        <v/>
      </c>
      <c r="GO2" s="24" t="str">
        <f>TRIM(下注输入!GO3)</f>
        <v/>
      </c>
      <c r="GP2" s="24" t="str">
        <f>TRIM(下注输入!GP3)</f>
        <v/>
      </c>
      <c r="GQ2" s="24" t="str">
        <f>TRIM(下注输入!GQ3)</f>
        <v/>
      </c>
      <c r="GR2" s="24" t="str">
        <f>TRIM(下注输入!GR3)</f>
        <v/>
      </c>
      <c r="GS2" s="24" t="str">
        <f>TRIM(下注输入!GS3)</f>
        <v/>
      </c>
      <c r="GT2" s="24" t="str">
        <f>TRIM(下注输入!GT3)</f>
        <v/>
      </c>
      <c r="GU2" s="24" t="str">
        <f>TRIM(下注输入!GU3)</f>
        <v/>
      </c>
      <c r="GV2" s="24" t="str">
        <f>TRIM(下注输入!GV3)</f>
        <v/>
      </c>
      <c r="GW2" s="24" t="str">
        <f>TRIM(下注输入!GW3)</f>
        <v/>
      </c>
      <c r="GX2" s="24" t="str">
        <f>TRIM(下注输入!GX3)</f>
        <v/>
      </c>
      <c r="GY2" s="24" t="str">
        <f>TRIM(下注输入!GY3)</f>
        <v/>
      </c>
      <c r="GZ2" s="24" t="str">
        <f>TRIM(下注输入!GZ3)</f>
        <v/>
      </c>
      <c r="HA2" s="24" t="str">
        <f>TRIM(下注输入!HA3)</f>
        <v/>
      </c>
      <c r="HB2" s="24" t="str">
        <f>TRIM(下注输入!HB3)</f>
        <v/>
      </c>
      <c r="HC2" s="24" t="str">
        <f>TRIM(下注输入!HC3)</f>
        <v/>
      </c>
      <c r="HD2" s="24" t="str">
        <f>TRIM(下注输入!HD3)</f>
        <v/>
      </c>
      <c r="HE2" s="24" t="str">
        <f>TRIM(下注输入!HE3)</f>
        <v/>
      </c>
      <c r="HF2" s="24" t="str">
        <f>TRIM(下注输入!HF3)</f>
        <v/>
      </c>
      <c r="HG2" s="24" t="str">
        <f>TRIM(下注输入!HG3)</f>
        <v/>
      </c>
      <c r="HH2" s="24" t="str">
        <f>TRIM(下注输入!HH3)</f>
        <v/>
      </c>
      <c r="HI2" s="24" t="str">
        <f>TRIM(下注输入!HI3)</f>
        <v/>
      </c>
      <c r="HJ2" s="24" t="str">
        <f>TRIM(下注输入!HJ3)</f>
        <v/>
      </c>
      <c r="HK2" s="24" t="str">
        <f>TRIM(下注输入!HK3)</f>
        <v/>
      </c>
      <c r="HL2" s="24" t="str">
        <f>TRIM(下注输入!HL3)</f>
        <v/>
      </c>
      <c r="HM2" s="24" t="str">
        <f>TRIM(下注输入!HM3)</f>
        <v/>
      </c>
      <c r="HN2" s="24" t="str">
        <f>TRIM(下注输入!HN3)</f>
        <v/>
      </c>
      <c r="HO2" s="24" t="str">
        <f>TRIM(下注输入!HO3)</f>
        <v/>
      </c>
      <c r="HP2" s="24" t="str">
        <f>TRIM(下注输入!HP3)</f>
        <v/>
      </c>
      <c r="HQ2" s="24" t="str">
        <f>TRIM(下注输入!HQ3)</f>
        <v/>
      </c>
      <c r="HR2" s="24" t="str">
        <f>TRIM(下注输入!HR3)</f>
        <v/>
      </c>
      <c r="HS2" s="24" t="str">
        <f>TRIM(下注输入!HS3)</f>
        <v/>
      </c>
      <c r="HT2" s="24" t="str">
        <f>TRIM(下注输入!HT3)</f>
        <v/>
      </c>
      <c r="HU2" s="24" t="str">
        <f>TRIM(下注输入!HU3)</f>
        <v/>
      </c>
      <c r="HV2" s="24" t="str">
        <f>TRIM(下注输入!HV3)</f>
        <v/>
      </c>
      <c r="HW2" s="24" t="str">
        <f>TRIM(下注输入!HW3)</f>
        <v/>
      </c>
      <c r="HX2" s="24" t="str">
        <f>TRIM(下注输入!HX3)</f>
        <v/>
      </c>
      <c r="HY2" s="24" t="str">
        <f>TRIM(下注输入!HY3)</f>
        <v/>
      </c>
      <c r="HZ2" s="24" t="str">
        <f>TRIM(下注输入!HZ3)</f>
        <v/>
      </c>
      <c r="IA2" s="24" t="str">
        <f>TRIM(下注输入!IA3)</f>
        <v/>
      </c>
      <c r="IB2" s="24" t="str">
        <f>TRIM(下注输入!IB3)</f>
        <v/>
      </c>
      <c r="IC2" s="24" t="str">
        <f>TRIM(下注输入!IC3)</f>
        <v/>
      </c>
      <c r="ID2" s="24" t="str">
        <f>TRIM(下注输入!ID3)</f>
        <v/>
      </c>
      <c r="IE2" s="24" t="str">
        <f>TRIM(下注输入!IE3)</f>
        <v/>
      </c>
      <c r="IF2" s="24" t="str">
        <f>TRIM(下注输入!IF3)</f>
        <v/>
      </c>
      <c r="IG2" s="24" t="str">
        <f>TRIM(下注输入!IG3)</f>
        <v/>
      </c>
      <c r="IH2" s="24" t="str">
        <f>TRIM(下注输入!IH3)</f>
        <v/>
      </c>
      <c r="II2" s="24" t="str">
        <f>TRIM(下注输入!II3)</f>
        <v/>
      </c>
      <c r="IJ2" s="24" t="str">
        <f>TRIM(下注输入!IJ3)</f>
        <v/>
      </c>
      <c r="IK2" s="24" t="str">
        <f>TRIM(下注输入!IK3)</f>
        <v/>
      </c>
      <c r="IL2" s="24" t="str">
        <f>TRIM(下注输入!IL3)</f>
        <v/>
      </c>
      <c r="IM2" s="24" t="str">
        <f>TRIM(下注输入!IM3)</f>
        <v/>
      </c>
      <c r="IN2" s="24" t="str">
        <f>TRIM(下注输入!IN3)</f>
        <v/>
      </c>
      <c r="IO2" s="24" t="str">
        <f>TRIM(下注输入!IO3)</f>
        <v/>
      </c>
      <c r="IP2" s="24" t="str">
        <f>TRIM(下注输入!IP3)</f>
        <v/>
      </c>
      <c r="IQ2" s="24" t="str">
        <f>TRIM(下注输入!IQ3)</f>
        <v/>
      </c>
      <c r="IR2" s="24" t="str">
        <f>TRIM(下注输入!IR3)</f>
        <v/>
      </c>
      <c r="IS2" s="24" t="str">
        <f>TRIM(下注输入!IS3)</f>
        <v/>
      </c>
      <c r="IT2" s="24" t="str">
        <f>TRIM(下注输入!IT3)</f>
        <v/>
      </c>
      <c r="IU2" s="24" t="str">
        <f>TRIM(下注输入!IU3)</f>
        <v/>
      </c>
      <c r="IV2" s="24" t="str">
        <f>TRIM(下注输入!IV3)</f>
        <v/>
      </c>
      <c r="IW2" s="24" t="str">
        <f>TRIM(下注输入!IW3)</f>
        <v/>
      </c>
      <c r="IX2" s="24" t="str">
        <f>TRIM(下注输入!IX3)</f>
        <v/>
      </c>
      <c r="IY2" s="24" t="str">
        <f>TRIM(下注输入!IY3)</f>
        <v/>
      </c>
      <c r="IZ2" s="24" t="str">
        <f>TRIM(下注输入!IZ3)</f>
        <v/>
      </c>
      <c r="JA2" s="24" t="str">
        <f>TRIM(下注输入!JA3)</f>
        <v/>
      </c>
      <c r="JB2" s="24" t="str">
        <f>TRIM(下注输入!JB3)</f>
        <v/>
      </c>
      <c r="JC2" s="24" t="str">
        <f>TRIM(下注输入!JC3)</f>
        <v/>
      </c>
      <c r="JD2" s="24" t="str">
        <f>TRIM(下注输入!JD3)</f>
        <v/>
      </c>
      <c r="JE2" s="24" t="str">
        <f>TRIM(下注输入!JE3)</f>
        <v/>
      </c>
      <c r="JF2" s="24" t="str">
        <f>TRIM(下注输入!JF3)</f>
        <v/>
      </c>
      <c r="JG2" s="24" t="str">
        <f>TRIM(下注输入!JG3)</f>
        <v/>
      </c>
      <c r="JH2" s="24" t="str">
        <f>TRIM(下注输入!JH3)</f>
        <v/>
      </c>
      <c r="JI2" s="24" t="str">
        <f>TRIM(下注输入!JI3)</f>
        <v/>
      </c>
    </row>
    <row r="3" spans="1:269" x14ac:dyDescent="0.25">
      <c r="A3" s="26">
        <v>1</v>
      </c>
      <c r="B3" s="20">
        <v>1000</v>
      </c>
      <c r="C3" s="20">
        <v>10</v>
      </c>
      <c r="G3" s="20">
        <v>100</v>
      </c>
      <c r="H3" s="20">
        <v>1000</v>
      </c>
      <c r="L3" s="20">
        <v>50</v>
      </c>
      <c r="M3" s="20">
        <v>5000</v>
      </c>
    </row>
    <row r="4" spans="1:269" x14ac:dyDescent="0.25">
      <c r="A4" s="26">
        <v>2</v>
      </c>
    </row>
    <row r="5" spans="1:269" x14ac:dyDescent="0.25">
      <c r="A5" s="26">
        <v>3</v>
      </c>
    </row>
    <row r="6" spans="1:269" x14ac:dyDescent="0.25">
      <c r="A6" s="26">
        <v>4</v>
      </c>
    </row>
    <row r="7" spans="1:269" x14ac:dyDescent="0.25">
      <c r="A7" s="26">
        <v>5</v>
      </c>
    </row>
    <row r="8" spans="1:269" x14ac:dyDescent="0.25">
      <c r="A8" s="26">
        <v>6</v>
      </c>
    </row>
    <row r="9" spans="1:269" x14ac:dyDescent="0.25">
      <c r="A9" s="26">
        <v>7</v>
      </c>
    </row>
    <row r="10" spans="1:269" x14ac:dyDescent="0.25">
      <c r="A10" s="26">
        <v>8</v>
      </c>
    </row>
    <row r="11" spans="1:269" x14ac:dyDescent="0.25">
      <c r="A11" s="26">
        <v>9</v>
      </c>
    </row>
    <row r="12" spans="1:269" x14ac:dyDescent="0.25">
      <c r="A12" s="26">
        <v>10</v>
      </c>
    </row>
    <row r="13" spans="1:269" x14ac:dyDescent="0.25">
      <c r="A13" s="26">
        <v>11</v>
      </c>
    </row>
    <row r="14" spans="1:269" x14ac:dyDescent="0.25">
      <c r="A14" s="26">
        <v>12</v>
      </c>
    </row>
    <row r="15" spans="1:269" x14ac:dyDescent="0.25">
      <c r="A15" s="26">
        <v>13</v>
      </c>
    </row>
    <row r="16" spans="1:269" x14ac:dyDescent="0.25">
      <c r="A16" s="26">
        <v>14</v>
      </c>
    </row>
    <row r="17" spans="1:1" x14ac:dyDescent="0.25">
      <c r="A17" s="26">
        <v>15</v>
      </c>
    </row>
    <row r="18" spans="1:1" x14ac:dyDescent="0.25">
      <c r="A18" s="26">
        <v>16</v>
      </c>
    </row>
    <row r="19" spans="1:1" x14ac:dyDescent="0.25">
      <c r="A19" s="26">
        <v>17</v>
      </c>
    </row>
    <row r="20" spans="1:1" x14ac:dyDescent="0.25">
      <c r="A20" s="26">
        <v>18</v>
      </c>
    </row>
    <row r="21" spans="1:1" x14ac:dyDescent="0.25">
      <c r="A21" s="26">
        <v>19</v>
      </c>
    </row>
    <row r="22" spans="1:1" x14ac:dyDescent="0.25">
      <c r="A22" s="26">
        <v>20</v>
      </c>
    </row>
    <row r="23" spans="1:1" x14ac:dyDescent="0.25">
      <c r="A23" s="26">
        <v>21</v>
      </c>
    </row>
    <row r="24" spans="1:1" x14ac:dyDescent="0.25">
      <c r="A24" s="26">
        <v>22</v>
      </c>
    </row>
    <row r="25" spans="1:1" x14ac:dyDescent="0.25">
      <c r="A25" s="26">
        <v>23</v>
      </c>
    </row>
    <row r="26" spans="1:1" x14ac:dyDescent="0.25">
      <c r="A26" s="26">
        <v>24</v>
      </c>
    </row>
    <row r="27" spans="1:1" x14ac:dyDescent="0.25">
      <c r="A27" s="26">
        <v>25</v>
      </c>
    </row>
    <row r="28" spans="1:1" x14ac:dyDescent="0.25">
      <c r="A28" s="26">
        <v>26</v>
      </c>
    </row>
    <row r="29" spans="1:1" x14ac:dyDescent="0.25">
      <c r="A29" s="26">
        <v>27</v>
      </c>
    </row>
    <row r="30" spans="1:1" x14ac:dyDescent="0.25">
      <c r="A30" s="26">
        <v>28</v>
      </c>
    </row>
    <row r="31" spans="1:1" x14ac:dyDescent="0.25">
      <c r="A31" s="26">
        <v>29</v>
      </c>
    </row>
    <row r="32" spans="1:1" x14ac:dyDescent="0.25">
      <c r="A32" s="26">
        <v>30</v>
      </c>
    </row>
    <row r="33" spans="1:1" x14ac:dyDescent="0.25">
      <c r="A33" s="26">
        <v>31</v>
      </c>
    </row>
    <row r="34" spans="1:1" x14ac:dyDescent="0.25">
      <c r="A34" s="26">
        <v>32</v>
      </c>
    </row>
    <row r="35" spans="1:1" x14ac:dyDescent="0.25">
      <c r="A35" s="26">
        <v>33</v>
      </c>
    </row>
    <row r="36" spans="1:1" x14ac:dyDescent="0.25">
      <c r="A36" s="26">
        <v>34</v>
      </c>
    </row>
    <row r="37" spans="1:1" x14ac:dyDescent="0.25">
      <c r="A37" s="26">
        <v>35</v>
      </c>
    </row>
    <row r="38" spans="1:1" x14ac:dyDescent="0.25">
      <c r="A38" s="26">
        <v>36</v>
      </c>
    </row>
    <row r="39" spans="1:1" x14ac:dyDescent="0.25">
      <c r="A39" s="26">
        <v>37</v>
      </c>
    </row>
    <row r="40" spans="1:1" x14ac:dyDescent="0.25">
      <c r="A40" s="26">
        <v>38</v>
      </c>
    </row>
    <row r="41" spans="1:1" x14ac:dyDescent="0.25">
      <c r="A41" s="26">
        <v>39</v>
      </c>
    </row>
    <row r="42" spans="1:1" x14ac:dyDescent="0.25">
      <c r="A42" s="26">
        <v>40</v>
      </c>
    </row>
    <row r="43" spans="1:1" x14ac:dyDescent="0.25">
      <c r="A43" s="26">
        <v>41</v>
      </c>
    </row>
    <row r="44" spans="1:1" x14ac:dyDescent="0.25">
      <c r="A44" s="26">
        <v>42</v>
      </c>
    </row>
    <row r="45" spans="1:1" x14ac:dyDescent="0.25">
      <c r="A45" s="26">
        <v>43</v>
      </c>
    </row>
    <row r="46" spans="1:1" x14ac:dyDescent="0.25">
      <c r="A46" s="26">
        <v>44</v>
      </c>
    </row>
    <row r="47" spans="1:1" x14ac:dyDescent="0.25">
      <c r="A47" s="26">
        <v>45</v>
      </c>
    </row>
    <row r="48" spans="1:1" x14ac:dyDescent="0.25">
      <c r="A48" s="26">
        <v>46</v>
      </c>
    </row>
    <row r="49" spans="1:1" x14ac:dyDescent="0.25">
      <c r="A49" s="26">
        <v>47</v>
      </c>
    </row>
    <row r="50" spans="1:1" x14ac:dyDescent="0.25">
      <c r="A50" s="26">
        <v>48</v>
      </c>
    </row>
    <row r="51" spans="1:1" x14ac:dyDescent="0.25">
      <c r="A51" s="26">
        <v>49</v>
      </c>
    </row>
    <row r="52" spans="1:1" x14ac:dyDescent="0.25">
      <c r="A52" s="26">
        <v>50</v>
      </c>
    </row>
    <row r="53" spans="1:1" x14ac:dyDescent="0.25">
      <c r="A53" s="26">
        <v>51</v>
      </c>
    </row>
    <row r="54" spans="1:1" x14ac:dyDescent="0.25">
      <c r="A54" s="26">
        <v>52</v>
      </c>
    </row>
    <row r="55" spans="1:1" x14ac:dyDescent="0.25">
      <c r="A55" s="26">
        <v>53</v>
      </c>
    </row>
    <row r="56" spans="1:1" x14ac:dyDescent="0.25">
      <c r="A56" s="26">
        <v>54</v>
      </c>
    </row>
    <row r="57" spans="1:1" x14ac:dyDescent="0.25">
      <c r="A57" s="26">
        <v>55</v>
      </c>
    </row>
    <row r="58" spans="1:1" x14ac:dyDescent="0.25">
      <c r="A58" s="26">
        <v>56</v>
      </c>
    </row>
    <row r="59" spans="1:1" x14ac:dyDescent="0.25">
      <c r="A59" s="26">
        <v>57</v>
      </c>
    </row>
    <row r="60" spans="1:1" x14ac:dyDescent="0.25">
      <c r="A60" s="26">
        <v>58</v>
      </c>
    </row>
    <row r="61" spans="1:1" x14ac:dyDescent="0.25">
      <c r="A61" s="26">
        <v>59</v>
      </c>
    </row>
    <row r="62" spans="1:1" x14ac:dyDescent="0.25">
      <c r="A62" s="26">
        <v>60</v>
      </c>
    </row>
    <row r="63" spans="1:1" x14ac:dyDescent="0.25">
      <c r="A63" s="26">
        <v>61</v>
      </c>
    </row>
    <row r="64" spans="1:1" x14ac:dyDescent="0.25">
      <c r="A64" s="26">
        <v>62</v>
      </c>
    </row>
    <row r="65" spans="1:1" x14ac:dyDescent="0.25">
      <c r="A65" s="26">
        <v>63</v>
      </c>
    </row>
    <row r="66" spans="1:1" x14ac:dyDescent="0.25">
      <c r="A66" s="26">
        <v>64</v>
      </c>
    </row>
    <row r="67" spans="1:1" x14ac:dyDescent="0.25">
      <c r="A67" s="26">
        <v>65</v>
      </c>
    </row>
    <row r="68" spans="1:1" x14ac:dyDescent="0.25">
      <c r="A68" s="26">
        <v>66</v>
      </c>
    </row>
    <row r="69" spans="1:1" x14ac:dyDescent="0.25">
      <c r="A69" s="26">
        <v>67</v>
      </c>
    </row>
    <row r="70" spans="1:1" x14ac:dyDescent="0.25">
      <c r="A70" s="26">
        <v>68</v>
      </c>
    </row>
    <row r="71" spans="1:1" x14ac:dyDescent="0.25">
      <c r="A71" s="26">
        <v>69</v>
      </c>
    </row>
    <row r="72" spans="1:1" x14ac:dyDescent="0.25">
      <c r="A72" s="26">
        <v>70</v>
      </c>
    </row>
    <row r="73" spans="1:1" x14ac:dyDescent="0.25">
      <c r="A73" s="26">
        <v>71</v>
      </c>
    </row>
    <row r="74" spans="1:1" x14ac:dyDescent="0.25">
      <c r="A74" s="26">
        <v>72</v>
      </c>
    </row>
    <row r="75" spans="1:1" x14ac:dyDescent="0.25">
      <c r="A75" s="26">
        <v>73</v>
      </c>
    </row>
    <row r="76" spans="1:1" x14ac:dyDescent="0.25">
      <c r="A76" s="26">
        <v>74</v>
      </c>
    </row>
    <row r="77" spans="1:1" x14ac:dyDescent="0.25">
      <c r="A77" s="26">
        <v>75</v>
      </c>
    </row>
    <row r="78" spans="1:1" x14ac:dyDescent="0.25">
      <c r="A78" s="26">
        <v>76</v>
      </c>
    </row>
    <row r="79" spans="1:1" x14ac:dyDescent="0.25">
      <c r="A79" s="26">
        <v>77</v>
      </c>
    </row>
    <row r="80" spans="1:1" x14ac:dyDescent="0.25">
      <c r="A80" s="26">
        <v>78</v>
      </c>
    </row>
    <row r="81" spans="1:1" x14ac:dyDescent="0.25">
      <c r="A81" s="26">
        <v>79</v>
      </c>
    </row>
    <row r="82" spans="1:1" x14ac:dyDescent="0.25">
      <c r="A82" s="26">
        <v>80</v>
      </c>
    </row>
    <row r="83" spans="1:1" x14ac:dyDescent="0.25">
      <c r="A83" s="26">
        <v>81</v>
      </c>
    </row>
    <row r="84" spans="1:1" x14ac:dyDescent="0.25">
      <c r="A84" s="26">
        <v>82</v>
      </c>
    </row>
    <row r="85" spans="1:1" x14ac:dyDescent="0.25">
      <c r="A85" s="26">
        <v>83</v>
      </c>
    </row>
    <row r="86" spans="1:1" x14ac:dyDescent="0.25">
      <c r="A86" s="26">
        <v>84</v>
      </c>
    </row>
    <row r="87" spans="1:1" x14ac:dyDescent="0.25">
      <c r="A87" s="26">
        <v>85</v>
      </c>
    </row>
    <row r="88" spans="1:1" x14ac:dyDescent="0.25">
      <c r="A88" s="26">
        <v>86</v>
      </c>
    </row>
    <row r="89" spans="1:1" x14ac:dyDescent="0.25">
      <c r="A89" s="26">
        <v>87</v>
      </c>
    </row>
    <row r="90" spans="1:1" x14ac:dyDescent="0.25">
      <c r="A90" s="26">
        <v>88</v>
      </c>
    </row>
    <row r="91" spans="1:1" x14ac:dyDescent="0.25">
      <c r="A91" s="26">
        <v>89</v>
      </c>
    </row>
    <row r="92" spans="1:1" x14ac:dyDescent="0.25">
      <c r="A92" s="26">
        <v>90</v>
      </c>
    </row>
    <row r="93" spans="1:1" x14ac:dyDescent="0.25">
      <c r="A93" s="26">
        <v>91</v>
      </c>
    </row>
    <row r="94" spans="1:1" x14ac:dyDescent="0.25">
      <c r="A94" s="26">
        <v>92</v>
      </c>
    </row>
    <row r="95" spans="1:1" x14ac:dyDescent="0.25">
      <c r="A95" s="26">
        <v>93</v>
      </c>
    </row>
    <row r="96" spans="1:1" x14ac:dyDescent="0.25">
      <c r="A96" s="26">
        <v>94</v>
      </c>
    </row>
    <row r="97" spans="1:1" x14ac:dyDescent="0.25">
      <c r="A97" s="26">
        <v>95</v>
      </c>
    </row>
    <row r="98" spans="1:1" x14ac:dyDescent="0.25">
      <c r="A98" s="26">
        <v>96</v>
      </c>
    </row>
    <row r="99" spans="1:1" x14ac:dyDescent="0.25">
      <c r="A99" s="26">
        <v>97</v>
      </c>
    </row>
    <row r="100" spans="1:1" x14ac:dyDescent="0.25">
      <c r="A100" s="26">
        <v>98</v>
      </c>
    </row>
    <row r="101" spans="1:1" x14ac:dyDescent="0.25">
      <c r="A101" s="26">
        <v>99</v>
      </c>
    </row>
    <row r="102" spans="1:1" x14ac:dyDescent="0.25">
      <c r="A102" s="26">
        <v>100</v>
      </c>
    </row>
    <row r="103" spans="1:1" x14ac:dyDescent="0.25">
      <c r="A103" s="26">
        <v>101</v>
      </c>
    </row>
    <row r="104" spans="1:1" x14ac:dyDescent="0.25">
      <c r="A104" s="26">
        <v>102</v>
      </c>
    </row>
    <row r="105" spans="1:1" x14ac:dyDescent="0.25">
      <c r="A105" s="26">
        <v>103</v>
      </c>
    </row>
    <row r="106" spans="1:1" x14ac:dyDescent="0.25">
      <c r="A106" s="26">
        <v>104</v>
      </c>
    </row>
    <row r="107" spans="1:1" x14ac:dyDescent="0.25">
      <c r="A107" s="26">
        <v>105</v>
      </c>
    </row>
    <row r="108" spans="1:1" x14ac:dyDescent="0.25">
      <c r="A108" s="26">
        <v>106</v>
      </c>
    </row>
    <row r="109" spans="1:1" x14ac:dyDescent="0.25">
      <c r="A109" s="26">
        <v>107</v>
      </c>
    </row>
    <row r="110" spans="1:1" x14ac:dyDescent="0.25">
      <c r="A110" s="26">
        <v>108</v>
      </c>
    </row>
    <row r="111" spans="1:1" x14ac:dyDescent="0.25">
      <c r="A111" s="26">
        <v>109</v>
      </c>
    </row>
    <row r="112" spans="1:1" x14ac:dyDescent="0.25">
      <c r="A112" s="26">
        <v>110</v>
      </c>
    </row>
    <row r="113" spans="1:1" x14ac:dyDescent="0.25">
      <c r="A113" s="26">
        <v>111</v>
      </c>
    </row>
    <row r="114" spans="1:1" x14ac:dyDescent="0.25">
      <c r="A114" s="26">
        <v>112</v>
      </c>
    </row>
    <row r="115" spans="1:1" x14ac:dyDescent="0.25">
      <c r="A115" s="26">
        <v>113</v>
      </c>
    </row>
    <row r="116" spans="1:1" x14ac:dyDescent="0.25">
      <c r="A116" s="26">
        <v>114</v>
      </c>
    </row>
    <row r="117" spans="1:1" x14ac:dyDescent="0.25">
      <c r="A117" s="26">
        <v>115</v>
      </c>
    </row>
    <row r="118" spans="1:1" x14ac:dyDescent="0.25">
      <c r="A118" s="26">
        <v>116</v>
      </c>
    </row>
    <row r="119" spans="1:1" x14ac:dyDescent="0.25">
      <c r="A119" s="26">
        <v>117</v>
      </c>
    </row>
    <row r="120" spans="1:1" x14ac:dyDescent="0.25">
      <c r="A120" s="26">
        <v>118</v>
      </c>
    </row>
    <row r="121" spans="1:1" x14ac:dyDescent="0.25">
      <c r="A121" s="26">
        <v>119</v>
      </c>
    </row>
    <row r="122" spans="1:1" x14ac:dyDescent="0.25">
      <c r="A122" s="26">
        <v>120</v>
      </c>
    </row>
    <row r="123" spans="1:1" x14ac:dyDescent="0.25">
      <c r="A123" s="26">
        <v>121</v>
      </c>
    </row>
    <row r="124" spans="1:1" x14ac:dyDescent="0.25">
      <c r="A124" s="26">
        <v>122</v>
      </c>
    </row>
    <row r="125" spans="1:1" x14ac:dyDescent="0.25">
      <c r="A125" s="26">
        <v>123</v>
      </c>
    </row>
    <row r="126" spans="1:1" x14ac:dyDescent="0.25">
      <c r="A126" s="26">
        <v>124</v>
      </c>
    </row>
    <row r="127" spans="1:1" x14ac:dyDescent="0.25">
      <c r="A127" s="26">
        <v>125</v>
      </c>
    </row>
    <row r="128" spans="1:1" x14ac:dyDescent="0.25">
      <c r="A128" s="26">
        <v>126</v>
      </c>
    </row>
    <row r="129" spans="1:1" x14ac:dyDescent="0.25">
      <c r="A129" s="26">
        <v>127</v>
      </c>
    </row>
    <row r="130" spans="1:1" x14ac:dyDescent="0.25">
      <c r="A130" s="26">
        <v>128</v>
      </c>
    </row>
    <row r="131" spans="1:1" x14ac:dyDescent="0.25">
      <c r="A131" s="26">
        <v>129</v>
      </c>
    </row>
    <row r="132" spans="1:1" x14ac:dyDescent="0.25">
      <c r="A132" s="26">
        <v>130</v>
      </c>
    </row>
    <row r="133" spans="1:1" x14ac:dyDescent="0.25">
      <c r="A133" s="26">
        <v>131</v>
      </c>
    </row>
    <row r="134" spans="1:1" x14ac:dyDescent="0.25">
      <c r="A134" s="26">
        <v>132</v>
      </c>
    </row>
    <row r="135" spans="1:1" x14ac:dyDescent="0.25">
      <c r="A135" s="26">
        <v>133</v>
      </c>
    </row>
    <row r="136" spans="1:1" x14ac:dyDescent="0.25">
      <c r="A136" s="26">
        <v>134</v>
      </c>
    </row>
    <row r="137" spans="1:1" x14ac:dyDescent="0.25">
      <c r="A137" s="26">
        <v>135</v>
      </c>
    </row>
    <row r="138" spans="1:1" x14ac:dyDescent="0.25">
      <c r="A138" s="26">
        <v>136</v>
      </c>
    </row>
    <row r="139" spans="1:1" x14ac:dyDescent="0.25">
      <c r="A139" s="26">
        <v>137</v>
      </c>
    </row>
    <row r="140" spans="1:1" x14ac:dyDescent="0.25">
      <c r="A140" s="26">
        <v>138</v>
      </c>
    </row>
    <row r="141" spans="1:1" x14ac:dyDescent="0.25">
      <c r="A141" s="26">
        <v>139</v>
      </c>
    </row>
    <row r="142" spans="1:1" x14ac:dyDescent="0.25">
      <c r="A142" s="26">
        <v>140</v>
      </c>
    </row>
    <row r="143" spans="1:1" x14ac:dyDescent="0.25">
      <c r="A143" s="26">
        <v>141</v>
      </c>
    </row>
    <row r="144" spans="1:1" x14ac:dyDescent="0.25">
      <c r="A144" s="26">
        <v>142</v>
      </c>
    </row>
    <row r="145" spans="1:1" x14ac:dyDescent="0.25">
      <c r="A145" s="26">
        <v>143</v>
      </c>
    </row>
    <row r="146" spans="1:1" x14ac:dyDescent="0.25">
      <c r="A146" s="26">
        <v>144</v>
      </c>
    </row>
    <row r="147" spans="1:1" x14ac:dyDescent="0.25">
      <c r="A147" s="26">
        <v>145</v>
      </c>
    </row>
    <row r="148" spans="1:1" x14ac:dyDescent="0.25">
      <c r="A148" s="26">
        <v>146</v>
      </c>
    </row>
    <row r="149" spans="1:1" x14ac:dyDescent="0.25">
      <c r="A149" s="26">
        <v>147</v>
      </c>
    </row>
    <row r="150" spans="1:1" x14ac:dyDescent="0.25">
      <c r="A150" s="26">
        <v>148</v>
      </c>
    </row>
    <row r="151" spans="1:1" x14ac:dyDescent="0.25">
      <c r="A151" s="26">
        <v>149</v>
      </c>
    </row>
    <row r="152" spans="1:1" x14ac:dyDescent="0.25">
      <c r="A152" s="26">
        <v>150</v>
      </c>
    </row>
    <row r="153" spans="1:1" x14ac:dyDescent="0.25">
      <c r="A153" s="26">
        <v>151</v>
      </c>
    </row>
    <row r="154" spans="1:1" x14ac:dyDescent="0.25">
      <c r="A154" s="26">
        <v>152</v>
      </c>
    </row>
    <row r="155" spans="1:1" x14ac:dyDescent="0.25">
      <c r="A155" s="26">
        <v>153</v>
      </c>
    </row>
    <row r="156" spans="1:1" x14ac:dyDescent="0.25">
      <c r="A156" s="26">
        <v>154</v>
      </c>
    </row>
    <row r="157" spans="1:1" x14ac:dyDescent="0.25">
      <c r="A157" s="26">
        <v>155</v>
      </c>
    </row>
    <row r="158" spans="1:1" x14ac:dyDescent="0.25">
      <c r="A158" s="26">
        <v>156</v>
      </c>
    </row>
    <row r="159" spans="1:1" x14ac:dyDescent="0.25">
      <c r="A159" s="26">
        <v>157</v>
      </c>
    </row>
    <row r="160" spans="1:1" x14ac:dyDescent="0.25">
      <c r="A160" s="26">
        <v>158</v>
      </c>
    </row>
    <row r="161" spans="1:1" x14ac:dyDescent="0.25">
      <c r="A161" s="26">
        <v>159</v>
      </c>
    </row>
    <row r="162" spans="1:1" x14ac:dyDescent="0.25">
      <c r="A162" s="26">
        <v>160</v>
      </c>
    </row>
    <row r="163" spans="1:1" x14ac:dyDescent="0.25">
      <c r="A163" s="26">
        <v>161</v>
      </c>
    </row>
    <row r="164" spans="1:1" x14ac:dyDescent="0.25">
      <c r="A164" s="26">
        <v>162</v>
      </c>
    </row>
    <row r="165" spans="1:1" x14ac:dyDescent="0.25">
      <c r="A165" s="26">
        <v>163</v>
      </c>
    </row>
    <row r="166" spans="1:1" x14ac:dyDescent="0.25">
      <c r="A166" s="26">
        <v>164</v>
      </c>
    </row>
    <row r="167" spans="1:1" x14ac:dyDescent="0.25">
      <c r="A167" s="26">
        <v>165</v>
      </c>
    </row>
    <row r="168" spans="1:1" x14ac:dyDescent="0.25">
      <c r="A168" s="26">
        <v>166</v>
      </c>
    </row>
    <row r="169" spans="1:1" x14ac:dyDescent="0.25">
      <c r="A169" s="26">
        <v>167</v>
      </c>
    </row>
    <row r="170" spans="1:1" x14ac:dyDescent="0.25">
      <c r="A170" s="26">
        <v>168</v>
      </c>
    </row>
    <row r="171" spans="1:1" x14ac:dyDescent="0.25">
      <c r="A171" s="26">
        <v>169</v>
      </c>
    </row>
    <row r="172" spans="1:1" x14ac:dyDescent="0.25">
      <c r="A172" s="26">
        <v>170</v>
      </c>
    </row>
    <row r="173" spans="1:1" x14ac:dyDescent="0.25">
      <c r="A173" s="26">
        <v>171</v>
      </c>
    </row>
    <row r="174" spans="1:1" x14ac:dyDescent="0.25">
      <c r="A174" s="26">
        <v>172</v>
      </c>
    </row>
    <row r="175" spans="1:1" x14ac:dyDescent="0.25">
      <c r="A175" s="26">
        <v>173</v>
      </c>
    </row>
    <row r="176" spans="1:1" x14ac:dyDescent="0.25">
      <c r="A176" s="26">
        <v>174</v>
      </c>
    </row>
    <row r="177" spans="1:1" x14ac:dyDescent="0.25">
      <c r="A177" s="26">
        <v>175</v>
      </c>
    </row>
    <row r="178" spans="1:1" x14ac:dyDescent="0.25">
      <c r="A178" s="26">
        <v>176</v>
      </c>
    </row>
    <row r="179" spans="1:1" x14ac:dyDescent="0.25">
      <c r="A179" s="26">
        <v>177</v>
      </c>
    </row>
    <row r="180" spans="1:1" x14ac:dyDescent="0.25">
      <c r="A180" s="26">
        <v>178</v>
      </c>
    </row>
    <row r="181" spans="1:1" x14ac:dyDescent="0.25">
      <c r="A181" s="26">
        <v>179</v>
      </c>
    </row>
    <row r="182" spans="1:1" x14ac:dyDescent="0.25">
      <c r="A182" s="26">
        <v>180</v>
      </c>
    </row>
    <row r="183" spans="1:1" x14ac:dyDescent="0.25">
      <c r="A183" s="26">
        <v>181</v>
      </c>
    </row>
    <row r="184" spans="1:1" x14ac:dyDescent="0.25">
      <c r="A184" s="26">
        <v>182</v>
      </c>
    </row>
    <row r="185" spans="1:1" x14ac:dyDescent="0.25">
      <c r="A185" s="26">
        <v>183</v>
      </c>
    </row>
    <row r="186" spans="1:1" x14ac:dyDescent="0.25">
      <c r="A186" s="26">
        <v>184</v>
      </c>
    </row>
    <row r="187" spans="1:1" x14ac:dyDescent="0.25">
      <c r="A187" s="26">
        <v>185</v>
      </c>
    </row>
    <row r="188" spans="1:1" x14ac:dyDescent="0.25">
      <c r="A188" s="26">
        <v>186</v>
      </c>
    </row>
    <row r="189" spans="1:1" x14ac:dyDescent="0.25">
      <c r="A189" s="26">
        <v>187</v>
      </c>
    </row>
    <row r="190" spans="1:1" x14ac:dyDescent="0.25">
      <c r="A190" s="26">
        <v>188</v>
      </c>
    </row>
    <row r="191" spans="1:1" x14ac:dyDescent="0.25">
      <c r="A191" s="26">
        <v>189</v>
      </c>
    </row>
    <row r="192" spans="1:1" x14ac:dyDescent="0.25">
      <c r="A192" s="26">
        <v>190</v>
      </c>
    </row>
    <row r="193" spans="1:1" x14ac:dyDescent="0.25">
      <c r="A193" s="26">
        <v>191</v>
      </c>
    </row>
    <row r="194" spans="1:1" x14ac:dyDescent="0.25">
      <c r="A194" s="26">
        <v>192</v>
      </c>
    </row>
    <row r="195" spans="1:1" x14ac:dyDescent="0.25">
      <c r="A195" s="26">
        <v>193</v>
      </c>
    </row>
    <row r="196" spans="1:1" x14ac:dyDescent="0.25">
      <c r="A196" s="26">
        <v>194</v>
      </c>
    </row>
    <row r="197" spans="1:1" x14ac:dyDescent="0.25">
      <c r="A197" s="26">
        <v>195</v>
      </c>
    </row>
    <row r="198" spans="1:1" x14ac:dyDescent="0.25">
      <c r="A198" s="26">
        <v>196</v>
      </c>
    </row>
    <row r="199" spans="1:1" x14ac:dyDescent="0.25">
      <c r="A199" s="26">
        <v>197</v>
      </c>
    </row>
    <row r="200" spans="1:1" x14ac:dyDescent="0.25">
      <c r="A200" s="26">
        <v>198</v>
      </c>
    </row>
  </sheetData>
  <sheetProtection algorithmName="SHA-512" hashValue="/k+WHzuZdzNPgps2Y7B5SzNu5ZyzkcdN/xbVrDYLVy04owFe9CUcx/23ywVMBW7Xan/ZbcsXHtFKvz29n5VNSA==" saltValue="dH+33Jkr6srZb3e4emc6hw==" spinCount="100000" sheet="1" objects="1" scenarios="1"/>
  <phoneticPr fontId="9" type="noConversion"/>
  <pageMargins left="0.75" right="0.75" top="1" bottom="1" header="0.51180555555555596" footer="0.51180555555555596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QG942"/>
  <sheetViews>
    <sheetView zoomScaleNormal="100" workbookViewId="0">
      <selection activeCell="I923" sqref="I923"/>
    </sheetView>
  </sheetViews>
  <sheetFormatPr defaultColWidth="8.88671875" defaultRowHeight="14.4" x14ac:dyDescent="0.25"/>
  <cols>
    <col min="1" max="1" width="10.6640625" style="16" customWidth="1"/>
    <col min="2" max="2" width="4.88671875" style="27" customWidth="1"/>
    <col min="3" max="3" width="5.109375" style="27" customWidth="1"/>
    <col min="4" max="4" width="9.6640625" style="27" customWidth="1"/>
    <col min="5" max="16384" width="8.88671875" style="25"/>
  </cols>
  <sheetData>
    <row r="1" spans="1:449" s="22" customFormat="1" x14ac:dyDescent="0.25">
      <c r="A1" s="16"/>
      <c r="B1" s="61">
        <f>-ROUND(SUM(E1:QG2),赔率设置!F6)</f>
        <v>-93.6</v>
      </c>
      <c r="C1" s="61"/>
      <c r="D1" s="62" t="s">
        <v>64</v>
      </c>
      <c r="E1" s="60">
        <f>SUM(E4:E500)</f>
        <v>4.7000000476837158</v>
      </c>
      <c r="F1" s="60">
        <f t="shared" ref="F1:BQ1" si="0">SUM(F4:F500)</f>
        <v>2.5999999046325684</v>
      </c>
      <c r="G1" s="60">
        <f t="shared" si="0"/>
        <v>-1.2000000476837158</v>
      </c>
      <c r="H1" s="60">
        <f t="shared" si="0"/>
        <v>0.69999992847442627</v>
      </c>
      <c r="I1" s="60">
        <f t="shared" si="0"/>
        <v>0</v>
      </c>
      <c r="J1" s="60">
        <f t="shared" si="0"/>
        <v>0</v>
      </c>
      <c r="K1" s="60">
        <f t="shared" si="0"/>
        <v>0</v>
      </c>
      <c r="L1" s="60">
        <f t="shared" si="0"/>
        <v>0</v>
      </c>
      <c r="M1" s="60">
        <f t="shared" si="0"/>
        <v>0</v>
      </c>
      <c r="N1" s="60">
        <f t="shared" si="0"/>
        <v>0</v>
      </c>
      <c r="O1" s="60">
        <f t="shared" si="0"/>
        <v>0</v>
      </c>
      <c r="P1" s="60">
        <f t="shared" si="0"/>
        <v>0</v>
      </c>
      <c r="Q1" s="60">
        <f t="shared" si="0"/>
        <v>0</v>
      </c>
      <c r="R1" s="60">
        <f t="shared" si="0"/>
        <v>0</v>
      </c>
      <c r="S1" s="60">
        <f t="shared" si="0"/>
        <v>0</v>
      </c>
      <c r="T1" s="60">
        <f t="shared" si="0"/>
        <v>-11</v>
      </c>
      <c r="U1" s="60">
        <f t="shared" si="0"/>
        <v>10.399999618530273</v>
      </c>
      <c r="V1" s="60">
        <f t="shared" si="0"/>
        <v>0</v>
      </c>
      <c r="W1" s="60">
        <f t="shared" si="0"/>
        <v>10.399999618530273</v>
      </c>
      <c r="X1" s="60">
        <f t="shared" si="0"/>
        <v>77</v>
      </c>
      <c r="Y1" s="60">
        <f t="shared" si="0"/>
        <v>0</v>
      </c>
      <c r="Z1" s="60">
        <f t="shared" si="0"/>
        <v>0</v>
      </c>
      <c r="AA1" s="60">
        <f t="shared" si="0"/>
        <v>0</v>
      </c>
      <c r="AB1" s="60">
        <f t="shared" si="0"/>
        <v>0</v>
      </c>
      <c r="AC1" s="60">
        <f t="shared" si="0"/>
        <v>0</v>
      </c>
      <c r="AD1" s="60">
        <f t="shared" si="0"/>
        <v>0</v>
      </c>
      <c r="AE1" s="60">
        <f t="shared" si="0"/>
        <v>0</v>
      </c>
      <c r="AF1" s="60">
        <f t="shared" si="0"/>
        <v>0</v>
      </c>
      <c r="AG1" s="60">
        <f t="shared" si="0"/>
        <v>0</v>
      </c>
      <c r="AH1" s="60">
        <f t="shared" si="0"/>
        <v>0</v>
      </c>
      <c r="AI1" s="60">
        <f t="shared" si="0"/>
        <v>0</v>
      </c>
      <c r="AJ1" s="60">
        <f t="shared" si="0"/>
        <v>0</v>
      </c>
      <c r="AK1" s="60">
        <f t="shared" si="0"/>
        <v>0</v>
      </c>
      <c r="AL1" s="60">
        <f t="shared" si="0"/>
        <v>0</v>
      </c>
      <c r="AM1" s="60">
        <f t="shared" si="0"/>
        <v>0</v>
      </c>
      <c r="AN1" s="60">
        <f t="shared" si="0"/>
        <v>0</v>
      </c>
      <c r="AO1" s="60">
        <f t="shared" si="0"/>
        <v>0</v>
      </c>
      <c r="AP1" s="60">
        <f t="shared" si="0"/>
        <v>0</v>
      </c>
      <c r="AQ1" s="60">
        <f t="shared" si="0"/>
        <v>0</v>
      </c>
      <c r="AR1" s="60">
        <f t="shared" si="0"/>
        <v>0</v>
      </c>
      <c r="AS1" s="60">
        <f t="shared" si="0"/>
        <v>0</v>
      </c>
      <c r="AT1" s="60">
        <f t="shared" si="0"/>
        <v>0</v>
      </c>
      <c r="AU1" s="60">
        <f t="shared" si="0"/>
        <v>0</v>
      </c>
      <c r="AV1" s="60">
        <f t="shared" si="0"/>
        <v>0</v>
      </c>
      <c r="AW1" s="60">
        <f t="shared" si="0"/>
        <v>0</v>
      </c>
      <c r="AX1" s="60">
        <f t="shared" si="0"/>
        <v>0</v>
      </c>
      <c r="AY1" s="60">
        <f t="shared" si="0"/>
        <v>0</v>
      </c>
      <c r="AZ1" s="60">
        <f t="shared" si="0"/>
        <v>0</v>
      </c>
      <c r="BA1" s="60">
        <f t="shared" si="0"/>
        <v>0</v>
      </c>
      <c r="BB1" s="60">
        <f t="shared" si="0"/>
        <v>0</v>
      </c>
      <c r="BC1" s="60">
        <f t="shared" si="0"/>
        <v>0</v>
      </c>
      <c r="BD1" s="60">
        <f t="shared" si="0"/>
        <v>0</v>
      </c>
      <c r="BE1" s="60">
        <f t="shared" si="0"/>
        <v>0</v>
      </c>
      <c r="BF1" s="60">
        <f t="shared" si="0"/>
        <v>0</v>
      </c>
      <c r="BG1" s="60">
        <f t="shared" si="0"/>
        <v>0</v>
      </c>
      <c r="BH1" s="60">
        <f t="shared" si="0"/>
        <v>0</v>
      </c>
      <c r="BI1" s="60">
        <f t="shared" si="0"/>
        <v>0</v>
      </c>
      <c r="BJ1" s="60">
        <f t="shared" si="0"/>
        <v>0</v>
      </c>
      <c r="BK1" s="60">
        <f t="shared" si="0"/>
        <v>0</v>
      </c>
      <c r="BL1" s="60">
        <f t="shared" si="0"/>
        <v>0</v>
      </c>
      <c r="BM1" s="60">
        <f t="shared" si="0"/>
        <v>0</v>
      </c>
      <c r="BN1" s="60">
        <f t="shared" si="0"/>
        <v>0</v>
      </c>
      <c r="BO1" s="60">
        <f t="shared" si="0"/>
        <v>0</v>
      </c>
      <c r="BP1" s="60">
        <f t="shared" si="0"/>
        <v>0</v>
      </c>
      <c r="BQ1" s="60">
        <f t="shared" si="0"/>
        <v>0</v>
      </c>
      <c r="BR1" s="60">
        <f t="shared" ref="BR1:EC1" si="1">SUM(BR4:BR500)</f>
        <v>0</v>
      </c>
      <c r="BS1" s="60">
        <f t="shared" si="1"/>
        <v>0</v>
      </c>
      <c r="BT1" s="60">
        <f t="shared" si="1"/>
        <v>0</v>
      </c>
      <c r="BU1" s="60">
        <f t="shared" si="1"/>
        <v>0</v>
      </c>
      <c r="BV1" s="60">
        <f t="shared" si="1"/>
        <v>0</v>
      </c>
      <c r="BW1" s="60">
        <f t="shared" si="1"/>
        <v>0</v>
      </c>
      <c r="BX1" s="60">
        <f t="shared" si="1"/>
        <v>0</v>
      </c>
      <c r="BY1" s="60">
        <f t="shared" si="1"/>
        <v>0</v>
      </c>
      <c r="BZ1" s="60">
        <f t="shared" si="1"/>
        <v>0</v>
      </c>
      <c r="CA1" s="60">
        <f t="shared" si="1"/>
        <v>0</v>
      </c>
      <c r="CB1" s="60">
        <f t="shared" si="1"/>
        <v>0</v>
      </c>
      <c r="CC1" s="60">
        <f t="shared" si="1"/>
        <v>0</v>
      </c>
      <c r="CD1" s="60">
        <f t="shared" si="1"/>
        <v>0</v>
      </c>
      <c r="CE1" s="60">
        <f t="shared" si="1"/>
        <v>0</v>
      </c>
      <c r="CF1" s="60">
        <f t="shared" si="1"/>
        <v>0</v>
      </c>
      <c r="CG1" s="60">
        <f t="shared" si="1"/>
        <v>0</v>
      </c>
      <c r="CH1" s="60">
        <f t="shared" si="1"/>
        <v>0</v>
      </c>
      <c r="CI1" s="60">
        <f t="shared" si="1"/>
        <v>0</v>
      </c>
      <c r="CJ1" s="60">
        <f t="shared" si="1"/>
        <v>0</v>
      </c>
      <c r="CK1" s="60">
        <f t="shared" si="1"/>
        <v>0</v>
      </c>
      <c r="CL1" s="60">
        <f t="shared" si="1"/>
        <v>0</v>
      </c>
      <c r="CM1" s="60">
        <f t="shared" si="1"/>
        <v>0</v>
      </c>
      <c r="CN1" s="60">
        <f t="shared" si="1"/>
        <v>0</v>
      </c>
      <c r="CO1" s="60">
        <f t="shared" si="1"/>
        <v>0</v>
      </c>
      <c r="CP1" s="60">
        <f t="shared" si="1"/>
        <v>0</v>
      </c>
      <c r="CQ1" s="60">
        <f t="shared" si="1"/>
        <v>0</v>
      </c>
      <c r="CR1" s="60">
        <f t="shared" si="1"/>
        <v>0</v>
      </c>
      <c r="CS1" s="60">
        <f t="shared" si="1"/>
        <v>0</v>
      </c>
      <c r="CT1" s="60">
        <f t="shared" si="1"/>
        <v>0</v>
      </c>
      <c r="CU1" s="60">
        <f t="shared" si="1"/>
        <v>0</v>
      </c>
      <c r="CV1" s="60">
        <f t="shared" si="1"/>
        <v>0</v>
      </c>
      <c r="CW1" s="60">
        <f t="shared" si="1"/>
        <v>0</v>
      </c>
      <c r="CX1" s="60">
        <f t="shared" si="1"/>
        <v>0</v>
      </c>
      <c r="CY1" s="60">
        <f t="shared" si="1"/>
        <v>0</v>
      </c>
      <c r="CZ1" s="60">
        <f t="shared" si="1"/>
        <v>0</v>
      </c>
      <c r="DA1" s="60">
        <f t="shared" si="1"/>
        <v>0</v>
      </c>
      <c r="DB1" s="60">
        <f t="shared" si="1"/>
        <v>0</v>
      </c>
      <c r="DC1" s="60">
        <f t="shared" si="1"/>
        <v>0</v>
      </c>
      <c r="DD1" s="60">
        <f t="shared" si="1"/>
        <v>0</v>
      </c>
      <c r="DE1" s="60">
        <f t="shared" si="1"/>
        <v>0</v>
      </c>
      <c r="DF1" s="60">
        <f t="shared" si="1"/>
        <v>0</v>
      </c>
      <c r="DG1" s="60">
        <f t="shared" si="1"/>
        <v>0</v>
      </c>
      <c r="DH1" s="60">
        <f t="shared" si="1"/>
        <v>0</v>
      </c>
      <c r="DI1" s="60">
        <f t="shared" si="1"/>
        <v>0</v>
      </c>
      <c r="DJ1" s="60">
        <f t="shared" si="1"/>
        <v>0</v>
      </c>
      <c r="DK1" s="60">
        <f t="shared" si="1"/>
        <v>0</v>
      </c>
      <c r="DL1" s="60">
        <f t="shared" si="1"/>
        <v>0</v>
      </c>
      <c r="DM1" s="60">
        <f t="shared" si="1"/>
        <v>0</v>
      </c>
      <c r="DN1" s="60">
        <f t="shared" si="1"/>
        <v>0</v>
      </c>
      <c r="DO1" s="60">
        <f t="shared" si="1"/>
        <v>0</v>
      </c>
      <c r="DP1" s="60">
        <f t="shared" si="1"/>
        <v>0</v>
      </c>
      <c r="DQ1" s="60">
        <f t="shared" si="1"/>
        <v>0</v>
      </c>
      <c r="DR1" s="60">
        <f t="shared" si="1"/>
        <v>0</v>
      </c>
      <c r="DS1" s="60">
        <f t="shared" si="1"/>
        <v>0</v>
      </c>
      <c r="DT1" s="60">
        <f t="shared" si="1"/>
        <v>0</v>
      </c>
      <c r="DU1" s="60">
        <f t="shared" si="1"/>
        <v>0</v>
      </c>
      <c r="DV1" s="60">
        <f t="shared" si="1"/>
        <v>0</v>
      </c>
      <c r="DW1" s="60">
        <f t="shared" si="1"/>
        <v>0</v>
      </c>
      <c r="DX1" s="60">
        <f t="shared" si="1"/>
        <v>0</v>
      </c>
      <c r="DY1" s="60">
        <f t="shared" si="1"/>
        <v>0</v>
      </c>
      <c r="DZ1" s="60">
        <f t="shared" si="1"/>
        <v>0</v>
      </c>
      <c r="EA1" s="60">
        <f t="shared" si="1"/>
        <v>0</v>
      </c>
      <c r="EB1" s="60">
        <f t="shared" si="1"/>
        <v>0</v>
      </c>
      <c r="EC1" s="60">
        <f t="shared" si="1"/>
        <v>0</v>
      </c>
      <c r="ED1" s="60">
        <f t="shared" ref="ED1:GO1" si="2">SUM(ED4:ED500)</f>
        <v>0</v>
      </c>
      <c r="EE1" s="60">
        <f t="shared" si="2"/>
        <v>0</v>
      </c>
      <c r="EF1" s="60">
        <f t="shared" si="2"/>
        <v>0</v>
      </c>
      <c r="EG1" s="60">
        <f t="shared" si="2"/>
        <v>0</v>
      </c>
      <c r="EH1" s="60">
        <f t="shared" si="2"/>
        <v>0</v>
      </c>
      <c r="EI1" s="60">
        <f t="shared" si="2"/>
        <v>0</v>
      </c>
      <c r="EJ1" s="60">
        <f t="shared" si="2"/>
        <v>0</v>
      </c>
      <c r="EK1" s="60">
        <f t="shared" si="2"/>
        <v>0</v>
      </c>
      <c r="EL1" s="60">
        <f t="shared" si="2"/>
        <v>0</v>
      </c>
      <c r="EM1" s="60">
        <f t="shared" si="2"/>
        <v>0</v>
      </c>
      <c r="EN1" s="60">
        <f t="shared" si="2"/>
        <v>0</v>
      </c>
      <c r="EO1" s="60">
        <f t="shared" si="2"/>
        <v>0</v>
      </c>
      <c r="EP1" s="60">
        <f t="shared" si="2"/>
        <v>0</v>
      </c>
      <c r="EQ1" s="60">
        <f t="shared" si="2"/>
        <v>0</v>
      </c>
      <c r="ER1" s="60">
        <f t="shared" si="2"/>
        <v>0</v>
      </c>
      <c r="ES1" s="60">
        <f t="shared" si="2"/>
        <v>0</v>
      </c>
      <c r="ET1" s="60">
        <f t="shared" si="2"/>
        <v>0</v>
      </c>
      <c r="EU1" s="60">
        <f t="shared" si="2"/>
        <v>0</v>
      </c>
      <c r="EV1" s="60">
        <f t="shared" si="2"/>
        <v>0</v>
      </c>
      <c r="EW1" s="60">
        <f t="shared" si="2"/>
        <v>0</v>
      </c>
      <c r="EX1" s="60">
        <f t="shared" si="2"/>
        <v>0</v>
      </c>
      <c r="EY1" s="60">
        <f t="shared" si="2"/>
        <v>0</v>
      </c>
      <c r="EZ1" s="60">
        <f t="shared" si="2"/>
        <v>0</v>
      </c>
      <c r="FA1" s="60">
        <f t="shared" si="2"/>
        <v>0</v>
      </c>
      <c r="FB1" s="60">
        <f t="shared" si="2"/>
        <v>0</v>
      </c>
      <c r="FC1" s="60">
        <f t="shared" si="2"/>
        <v>0</v>
      </c>
      <c r="FD1" s="60">
        <f t="shared" si="2"/>
        <v>0</v>
      </c>
      <c r="FE1" s="60">
        <f t="shared" si="2"/>
        <v>0</v>
      </c>
      <c r="FF1" s="60">
        <f t="shared" si="2"/>
        <v>0</v>
      </c>
      <c r="FG1" s="60">
        <f t="shared" si="2"/>
        <v>0</v>
      </c>
      <c r="FH1" s="60">
        <f t="shared" si="2"/>
        <v>0</v>
      </c>
      <c r="FI1" s="60">
        <f t="shared" si="2"/>
        <v>0</v>
      </c>
      <c r="FJ1" s="60">
        <f t="shared" si="2"/>
        <v>0</v>
      </c>
      <c r="FK1" s="60">
        <f t="shared" si="2"/>
        <v>0</v>
      </c>
      <c r="FL1" s="60">
        <f t="shared" si="2"/>
        <v>0</v>
      </c>
      <c r="FM1" s="60">
        <f t="shared" si="2"/>
        <v>0</v>
      </c>
      <c r="FN1" s="60">
        <f t="shared" si="2"/>
        <v>0</v>
      </c>
      <c r="FO1" s="60">
        <f t="shared" si="2"/>
        <v>0</v>
      </c>
      <c r="FP1" s="60">
        <f t="shared" si="2"/>
        <v>0</v>
      </c>
      <c r="FQ1" s="60">
        <f t="shared" si="2"/>
        <v>0</v>
      </c>
      <c r="FR1" s="60">
        <f t="shared" si="2"/>
        <v>0</v>
      </c>
      <c r="FS1" s="60">
        <f t="shared" si="2"/>
        <v>0</v>
      </c>
      <c r="FT1" s="60">
        <f t="shared" si="2"/>
        <v>0</v>
      </c>
      <c r="FU1" s="60">
        <f t="shared" si="2"/>
        <v>0</v>
      </c>
      <c r="FV1" s="60">
        <f t="shared" si="2"/>
        <v>0</v>
      </c>
      <c r="FW1" s="60">
        <f t="shared" si="2"/>
        <v>0</v>
      </c>
      <c r="FX1" s="60">
        <f t="shared" si="2"/>
        <v>0</v>
      </c>
      <c r="FY1" s="60">
        <f t="shared" si="2"/>
        <v>0</v>
      </c>
      <c r="FZ1" s="60">
        <f t="shared" si="2"/>
        <v>0</v>
      </c>
      <c r="GA1" s="60">
        <f t="shared" si="2"/>
        <v>0</v>
      </c>
      <c r="GB1" s="60">
        <f t="shared" si="2"/>
        <v>0</v>
      </c>
      <c r="GC1" s="60">
        <f t="shared" si="2"/>
        <v>0</v>
      </c>
      <c r="GD1" s="60">
        <f t="shared" si="2"/>
        <v>0</v>
      </c>
      <c r="GE1" s="60">
        <f t="shared" si="2"/>
        <v>0</v>
      </c>
      <c r="GF1" s="60">
        <f t="shared" si="2"/>
        <v>0</v>
      </c>
      <c r="GG1" s="60">
        <f t="shared" si="2"/>
        <v>0</v>
      </c>
      <c r="GH1" s="60">
        <f t="shared" si="2"/>
        <v>0</v>
      </c>
      <c r="GI1" s="60">
        <f t="shared" si="2"/>
        <v>0</v>
      </c>
      <c r="GJ1" s="60">
        <f t="shared" si="2"/>
        <v>0</v>
      </c>
      <c r="GK1" s="60">
        <f t="shared" si="2"/>
        <v>0</v>
      </c>
      <c r="GL1" s="60">
        <f t="shared" si="2"/>
        <v>0</v>
      </c>
      <c r="GM1" s="60">
        <f t="shared" si="2"/>
        <v>0</v>
      </c>
      <c r="GN1" s="60">
        <f t="shared" si="2"/>
        <v>0</v>
      </c>
      <c r="GO1" s="60">
        <f t="shared" si="2"/>
        <v>0</v>
      </c>
      <c r="GP1" s="60">
        <f t="shared" ref="GP1:JA1" si="3">SUM(GP4:GP500)</f>
        <v>0</v>
      </c>
      <c r="GQ1" s="60">
        <f t="shared" si="3"/>
        <v>0</v>
      </c>
      <c r="GR1" s="60">
        <f t="shared" si="3"/>
        <v>0</v>
      </c>
      <c r="GS1" s="60">
        <f t="shared" si="3"/>
        <v>0</v>
      </c>
      <c r="GT1" s="60">
        <f t="shared" si="3"/>
        <v>0</v>
      </c>
      <c r="GU1" s="60">
        <f t="shared" si="3"/>
        <v>0</v>
      </c>
      <c r="GV1" s="60">
        <f t="shared" si="3"/>
        <v>0</v>
      </c>
      <c r="GW1" s="60">
        <f t="shared" si="3"/>
        <v>0</v>
      </c>
      <c r="GX1" s="60">
        <f t="shared" si="3"/>
        <v>0</v>
      </c>
      <c r="GY1" s="60">
        <f t="shared" si="3"/>
        <v>0</v>
      </c>
      <c r="GZ1" s="60">
        <f t="shared" si="3"/>
        <v>0</v>
      </c>
      <c r="HA1" s="60">
        <f t="shared" si="3"/>
        <v>0</v>
      </c>
      <c r="HB1" s="60">
        <f t="shared" si="3"/>
        <v>0</v>
      </c>
      <c r="HC1" s="60">
        <f t="shared" si="3"/>
        <v>0</v>
      </c>
      <c r="HD1" s="60">
        <f t="shared" si="3"/>
        <v>0</v>
      </c>
      <c r="HE1" s="60">
        <f t="shared" si="3"/>
        <v>0</v>
      </c>
      <c r="HF1" s="60">
        <f t="shared" si="3"/>
        <v>0</v>
      </c>
      <c r="HG1" s="60">
        <f t="shared" si="3"/>
        <v>0</v>
      </c>
      <c r="HH1" s="60">
        <f t="shared" si="3"/>
        <v>0</v>
      </c>
      <c r="HI1" s="60">
        <f t="shared" si="3"/>
        <v>0</v>
      </c>
      <c r="HJ1" s="60">
        <f t="shared" si="3"/>
        <v>0</v>
      </c>
      <c r="HK1" s="60">
        <f t="shared" si="3"/>
        <v>0</v>
      </c>
      <c r="HL1" s="60">
        <f t="shared" si="3"/>
        <v>0</v>
      </c>
      <c r="HM1" s="60">
        <f t="shared" si="3"/>
        <v>0</v>
      </c>
      <c r="HN1" s="60">
        <f t="shared" si="3"/>
        <v>0</v>
      </c>
      <c r="HO1" s="60">
        <f t="shared" si="3"/>
        <v>0</v>
      </c>
      <c r="HP1" s="60">
        <f t="shared" si="3"/>
        <v>0</v>
      </c>
      <c r="HQ1" s="60">
        <f t="shared" si="3"/>
        <v>0</v>
      </c>
      <c r="HR1" s="60">
        <f t="shared" si="3"/>
        <v>0</v>
      </c>
      <c r="HS1" s="60">
        <f t="shared" si="3"/>
        <v>0</v>
      </c>
      <c r="HT1" s="60">
        <f t="shared" si="3"/>
        <v>0</v>
      </c>
      <c r="HU1" s="60">
        <f t="shared" si="3"/>
        <v>0</v>
      </c>
      <c r="HV1" s="60">
        <f t="shared" si="3"/>
        <v>0</v>
      </c>
      <c r="HW1" s="60">
        <f t="shared" si="3"/>
        <v>0</v>
      </c>
      <c r="HX1" s="60">
        <f t="shared" si="3"/>
        <v>0</v>
      </c>
      <c r="HY1" s="60">
        <f t="shared" si="3"/>
        <v>0</v>
      </c>
      <c r="HZ1" s="60">
        <f t="shared" si="3"/>
        <v>0</v>
      </c>
      <c r="IA1" s="60">
        <f t="shared" si="3"/>
        <v>0</v>
      </c>
      <c r="IB1" s="60">
        <f t="shared" si="3"/>
        <v>0</v>
      </c>
      <c r="IC1" s="60">
        <f t="shared" si="3"/>
        <v>0</v>
      </c>
      <c r="ID1" s="60">
        <f t="shared" si="3"/>
        <v>0</v>
      </c>
      <c r="IE1" s="60">
        <f t="shared" si="3"/>
        <v>0</v>
      </c>
      <c r="IF1" s="60">
        <f t="shared" si="3"/>
        <v>0</v>
      </c>
      <c r="IG1" s="60">
        <f t="shared" si="3"/>
        <v>0</v>
      </c>
      <c r="IH1" s="60">
        <f t="shared" si="3"/>
        <v>0</v>
      </c>
      <c r="II1" s="60">
        <f t="shared" si="3"/>
        <v>0</v>
      </c>
      <c r="IJ1" s="60">
        <f t="shared" si="3"/>
        <v>0</v>
      </c>
      <c r="IK1" s="60">
        <f t="shared" si="3"/>
        <v>0</v>
      </c>
      <c r="IL1" s="60">
        <f t="shared" si="3"/>
        <v>0</v>
      </c>
      <c r="IM1" s="60">
        <f t="shared" si="3"/>
        <v>0</v>
      </c>
      <c r="IN1" s="60">
        <f t="shared" si="3"/>
        <v>0</v>
      </c>
      <c r="IO1" s="60">
        <f t="shared" si="3"/>
        <v>0</v>
      </c>
      <c r="IP1" s="60">
        <f t="shared" si="3"/>
        <v>0</v>
      </c>
      <c r="IQ1" s="60">
        <f t="shared" si="3"/>
        <v>0</v>
      </c>
      <c r="IR1" s="60">
        <f t="shared" si="3"/>
        <v>0</v>
      </c>
      <c r="IS1" s="60">
        <f t="shared" si="3"/>
        <v>0</v>
      </c>
      <c r="IT1" s="60">
        <f t="shared" si="3"/>
        <v>0</v>
      </c>
      <c r="IU1" s="60">
        <f t="shared" si="3"/>
        <v>0</v>
      </c>
      <c r="IV1" s="60">
        <f t="shared" si="3"/>
        <v>0</v>
      </c>
      <c r="IW1" s="60">
        <f t="shared" si="3"/>
        <v>0</v>
      </c>
      <c r="IX1" s="60">
        <f t="shared" si="3"/>
        <v>0</v>
      </c>
      <c r="IY1" s="60">
        <f t="shared" si="3"/>
        <v>0</v>
      </c>
      <c r="IZ1" s="60">
        <f t="shared" si="3"/>
        <v>0</v>
      </c>
      <c r="JA1" s="60">
        <f t="shared" si="3"/>
        <v>0</v>
      </c>
      <c r="JB1" s="60">
        <f t="shared" ref="JB1:LM1" si="4">SUM(JB4:JB500)</f>
        <v>0</v>
      </c>
      <c r="JC1" s="60">
        <f t="shared" si="4"/>
        <v>0</v>
      </c>
      <c r="JD1" s="60">
        <f t="shared" si="4"/>
        <v>0</v>
      </c>
      <c r="JE1" s="60">
        <f t="shared" si="4"/>
        <v>0</v>
      </c>
      <c r="JF1" s="60">
        <f t="shared" si="4"/>
        <v>0</v>
      </c>
      <c r="JG1" s="60">
        <f t="shared" si="4"/>
        <v>0</v>
      </c>
      <c r="JH1" s="60">
        <f t="shared" si="4"/>
        <v>0</v>
      </c>
      <c r="JI1" s="60">
        <f t="shared" si="4"/>
        <v>0</v>
      </c>
      <c r="JJ1" s="60">
        <f t="shared" si="4"/>
        <v>0</v>
      </c>
      <c r="JK1" s="60">
        <f t="shared" si="4"/>
        <v>0</v>
      </c>
      <c r="JL1" s="60">
        <f t="shared" si="4"/>
        <v>0</v>
      </c>
      <c r="JM1" s="60">
        <f t="shared" si="4"/>
        <v>0</v>
      </c>
      <c r="JN1" s="60">
        <f t="shared" si="4"/>
        <v>0</v>
      </c>
      <c r="JO1" s="60">
        <f t="shared" si="4"/>
        <v>0</v>
      </c>
      <c r="JP1" s="60">
        <f t="shared" si="4"/>
        <v>0</v>
      </c>
      <c r="JQ1" s="60">
        <f t="shared" si="4"/>
        <v>0</v>
      </c>
      <c r="JR1" s="60">
        <f t="shared" si="4"/>
        <v>0</v>
      </c>
      <c r="JS1" s="60">
        <f t="shared" si="4"/>
        <v>0</v>
      </c>
      <c r="JT1" s="60">
        <f t="shared" si="4"/>
        <v>0</v>
      </c>
      <c r="JU1" s="60">
        <f t="shared" si="4"/>
        <v>0</v>
      </c>
      <c r="JV1" s="60">
        <f t="shared" si="4"/>
        <v>0</v>
      </c>
      <c r="JW1" s="60">
        <f t="shared" si="4"/>
        <v>0</v>
      </c>
      <c r="JX1" s="60">
        <f t="shared" si="4"/>
        <v>0</v>
      </c>
      <c r="JY1" s="60">
        <f t="shared" si="4"/>
        <v>0</v>
      </c>
      <c r="JZ1" s="60">
        <f t="shared" si="4"/>
        <v>0</v>
      </c>
      <c r="KA1" s="60">
        <f t="shared" si="4"/>
        <v>0</v>
      </c>
      <c r="KB1" s="60">
        <f t="shared" si="4"/>
        <v>0</v>
      </c>
      <c r="KC1" s="60">
        <f t="shared" si="4"/>
        <v>0</v>
      </c>
      <c r="KD1" s="60">
        <f t="shared" si="4"/>
        <v>0</v>
      </c>
      <c r="KE1" s="60">
        <f t="shared" si="4"/>
        <v>0</v>
      </c>
      <c r="KF1" s="60">
        <f t="shared" si="4"/>
        <v>0</v>
      </c>
      <c r="KG1" s="60">
        <f t="shared" si="4"/>
        <v>0</v>
      </c>
      <c r="KH1" s="60">
        <f t="shared" si="4"/>
        <v>0</v>
      </c>
      <c r="KI1" s="60">
        <f t="shared" si="4"/>
        <v>0</v>
      </c>
      <c r="KJ1" s="60">
        <f t="shared" si="4"/>
        <v>0</v>
      </c>
      <c r="KK1" s="60">
        <f t="shared" si="4"/>
        <v>0</v>
      </c>
      <c r="KL1" s="60">
        <f t="shared" si="4"/>
        <v>0</v>
      </c>
      <c r="KM1" s="60">
        <f t="shared" si="4"/>
        <v>0</v>
      </c>
      <c r="KN1" s="60">
        <f t="shared" si="4"/>
        <v>0</v>
      </c>
      <c r="KO1" s="60">
        <f t="shared" si="4"/>
        <v>0</v>
      </c>
      <c r="KP1" s="60">
        <f t="shared" si="4"/>
        <v>0</v>
      </c>
      <c r="KQ1" s="60">
        <f t="shared" si="4"/>
        <v>0</v>
      </c>
      <c r="KR1" s="60">
        <f t="shared" si="4"/>
        <v>0</v>
      </c>
      <c r="KS1" s="60">
        <f t="shared" si="4"/>
        <v>0</v>
      </c>
      <c r="KT1" s="60">
        <f t="shared" si="4"/>
        <v>0</v>
      </c>
      <c r="KU1" s="60">
        <f t="shared" si="4"/>
        <v>0</v>
      </c>
      <c r="KV1" s="60">
        <f t="shared" si="4"/>
        <v>0</v>
      </c>
      <c r="KW1" s="60">
        <f t="shared" si="4"/>
        <v>0</v>
      </c>
      <c r="KX1" s="60">
        <f t="shared" si="4"/>
        <v>0</v>
      </c>
      <c r="KY1" s="60">
        <f t="shared" si="4"/>
        <v>0</v>
      </c>
      <c r="KZ1" s="60">
        <f t="shared" si="4"/>
        <v>0</v>
      </c>
      <c r="LA1" s="60">
        <f t="shared" si="4"/>
        <v>0</v>
      </c>
      <c r="LB1" s="60">
        <f t="shared" si="4"/>
        <v>0</v>
      </c>
      <c r="LC1" s="60">
        <f t="shared" si="4"/>
        <v>0</v>
      </c>
      <c r="LD1" s="60">
        <f t="shared" si="4"/>
        <v>0</v>
      </c>
      <c r="LE1" s="60">
        <f t="shared" si="4"/>
        <v>0</v>
      </c>
      <c r="LF1" s="60">
        <f t="shared" si="4"/>
        <v>0</v>
      </c>
      <c r="LG1" s="60">
        <f t="shared" si="4"/>
        <v>0</v>
      </c>
      <c r="LH1" s="60">
        <f t="shared" si="4"/>
        <v>0</v>
      </c>
      <c r="LI1" s="60">
        <f t="shared" si="4"/>
        <v>0</v>
      </c>
      <c r="LJ1" s="60">
        <f t="shared" si="4"/>
        <v>0</v>
      </c>
      <c r="LK1" s="60">
        <f t="shared" si="4"/>
        <v>0</v>
      </c>
      <c r="LL1" s="60">
        <f t="shared" si="4"/>
        <v>0</v>
      </c>
      <c r="LM1" s="60">
        <f t="shared" si="4"/>
        <v>0</v>
      </c>
      <c r="LN1" s="60">
        <f t="shared" ref="LN1:NY1" si="5">SUM(LN4:LN500)</f>
        <v>0</v>
      </c>
      <c r="LO1" s="60">
        <f t="shared" si="5"/>
        <v>0</v>
      </c>
      <c r="LP1" s="60">
        <f t="shared" si="5"/>
        <v>0</v>
      </c>
      <c r="LQ1" s="60">
        <f t="shared" si="5"/>
        <v>0</v>
      </c>
      <c r="LR1" s="60">
        <f t="shared" si="5"/>
        <v>0</v>
      </c>
      <c r="LS1" s="60">
        <f t="shared" si="5"/>
        <v>0</v>
      </c>
      <c r="LT1" s="60">
        <f t="shared" si="5"/>
        <v>0</v>
      </c>
      <c r="LU1" s="60">
        <f t="shared" si="5"/>
        <v>0</v>
      </c>
      <c r="LV1" s="60">
        <f t="shared" si="5"/>
        <v>0</v>
      </c>
      <c r="LW1" s="60">
        <f t="shared" si="5"/>
        <v>0</v>
      </c>
      <c r="LX1" s="60">
        <f t="shared" si="5"/>
        <v>0</v>
      </c>
      <c r="LY1" s="60">
        <f t="shared" si="5"/>
        <v>0</v>
      </c>
      <c r="LZ1" s="60">
        <f t="shared" si="5"/>
        <v>0</v>
      </c>
      <c r="MA1" s="60">
        <f t="shared" si="5"/>
        <v>0</v>
      </c>
      <c r="MB1" s="60">
        <f t="shared" si="5"/>
        <v>0</v>
      </c>
      <c r="MC1" s="60">
        <f t="shared" si="5"/>
        <v>0</v>
      </c>
      <c r="MD1" s="60">
        <f t="shared" si="5"/>
        <v>0</v>
      </c>
      <c r="ME1" s="60">
        <f t="shared" si="5"/>
        <v>0</v>
      </c>
      <c r="MF1" s="60">
        <f t="shared" si="5"/>
        <v>0</v>
      </c>
      <c r="MG1" s="60">
        <f t="shared" si="5"/>
        <v>0</v>
      </c>
      <c r="MH1" s="60">
        <f t="shared" si="5"/>
        <v>0</v>
      </c>
      <c r="MI1" s="60">
        <f t="shared" si="5"/>
        <v>0</v>
      </c>
      <c r="MJ1" s="60">
        <f t="shared" si="5"/>
        <v>0</v>
      </c>
      <c r="MK1" s="60">
        <f t="shared" si="5"/>
        <v>0</v>
      </c>
      <c r="ML1" s="60">
        <f t="shared" si="5"/>
        <v>0</v>
      </c>
      <c r="MM1" s="60">
        <f t="shared" si="5"/>
        <v>0</v>
      </c>
      <c r="MN1" s="60">
        <f t="shared" si="5"/>
        <v>0</v>
      </c>
      <c r="MO1" s="60">
        <f t="shared" si="5"/>
        <v>0</v>
      </c>
      <c r="MP1" s="60">
        <f t="shared" si="5"/>
        <v>0</v>
      </c>
      <c r="MQ1" s="60">
        <f t="shared" si="5"/>
        <v>0</v>
      </c>
      <c r="MR1" s="60">
        <f t="shared" si="5"/>
        <v>0</v>
      </c>
      <c r="MS1" s="60">
        <f t="shared" si="5"/>
        <v>0</v>
      </c>
      <c r="MT1" s="60">
        <f t="shared" si="5"/>
        <v>0</v>
      </c>
      <c r="MU1" s="60">
        <f t="shared" si="5"/>
        <v>0</v>
      </c>
      <c r="MV1" s="60">
        <f t="shared" si="5"/>
        <v>0</v>
      </c>
      <c r="MW1" s="60">
        <f t="shared" si="5"/>
        <v>0</v>
      </c>
      <c r="MX1" s="60">
        <f t="shared" si="5"/>
        <v>0</v>
      </c>
      <c r="MY1" s="60">
        <f t="shared" si="5"/>
        <v>0</v>
      </c>
      <c r="MZ1" s="60">
        <f t="shared" si="5"/>
        <v>0</v>
      </c>
      <c r="NA1" s="60">
        <f t="shared" si="5"/>
        <v>0</v>
      </c>
      <c r="NB1" s="60">
        <f t="shared" si="5"/>
        <v>0</v>
      </c>
      <c r="NC1" s="60">
        <f t="shared" si="5"/>
        <v>0</v>
      </c>
      <c r="ND1" s="60">
        <f t="shared" si="5"/>
        <v>0</v>
      </c>
      <c r="NE1" s="60">
        <f t="shared" si="5"/>
        <v>0</v>
      </c>
      <c r="NF1" s="60">
        <f t="shared" si="5"/>
        <v>0</v>
      </c>
      <c r="NG1" s="60">
        <f t="shared" si="5"/>
        <v>0</v>
      </c>
      <c r="NH1" s="60">
        <f t="shared" si="5"/>
        <v>0</v>
      </c>
      <c r="NI1" s="60">
        <f t="shared" si="5"/>
        <v>0</v>
      </c>
      <c r="NJ1" s="60">
        <f t="shared" si="5"/>
        <v>0</v>
      </c>
      <c r="NK1" s="60">
        <f t="shared" si="5"/>
        <v>0</v>
      </c>
      <c r="NL1" s="60">
        <f t="shared" si="5"/>
        <v>0</v>
      </c>
      <c r="NM1" s="60">
        <f t="shared" si="5"/>
        <v>0</v>
      </c>
      <c r="NN1" s="60">
        <f t="shared" si="5"/>
        <v>0</v>
      </c>
      <c r="NO1" s="60">
        <f t="shared" si="5"/>
        <v>0</v>
      </c>
      <c r="NP1" s="60">
        <f t="shared" si="5"/>
        <v>0</v>
      </c>
      <c r="NQ1" s="60">
        <f t="shared" si="5"/>
        <v>0</v>
      </c>
      <c r="NR1" s="60">
        <f t="shared" si="5"/>
        <v>0</v>
      </c>
      <c r="NS1" s="60">
        <f t="shared" si="5"/>
        <v>0</v>
      </c>
      <c r="NT1" s="60">
        <f t="shared" si="5"/>
        <v>0</v>
      </c>
      <c r="NU1" s="60">
        <f t="shared" si="5"/>
        <v>0</v>
      </c>
      <c r="NV1" s="60">
        <f t="shared" si="5"/>
        <v>0</v>
      </c>
      <c r="NW1" s="60">
        <f t="shared" si="5"/>
        <v>0</v>
      </c>
      <c r="NX1" s="60">
        <f t="shared" si="5"/>
        <v>0</v>
      </c>
      <c r="NY1" s="60">
        <f t="shared" si="5"/>
        <v>0</v>
      </c>
      <c r="NZ1" s="60">
        <f t="shared" ref="NZ1:QF1" si="6">SUM(NZ4:NZ500)</f>
        <v>0</v>
      </c>
      <c r="OA1" s="60">
        <f t="shared" si="6"/>
        <v>0</v>
      </c>
      <c r="OB1" s="60">
        <f t="shared" si="6"/>
        <v>0</v>
      </c>
      <c r="OC1" s="60">
        <f t="shared" si="6"/>
        <v>0</v>
      </c>
      <c r="OD1" s="60">
        <f t="shared" si="6"/>
        <v>0</v>
      </c>
      <c r="OE1" s="60">
        <f t="shared" si="6"/>
        <v>0</v>
      </c>
      <c r="OF1" s="60">
        <f t="shared" si="6"/>
        <v>0</v>
      </c>
      <c r="OG1" s="60">
        <f t="shared" si="6"/>
        <v>0</v>
      </c>
      <c r="OH1" s="60">
        <f t="shared" si="6"/>
        <v>0</v>
      </c>
      <c r="OI1" s="60">
        <f t="shared" si="6"/>
        <v>0</v>
      </c>
      <c r="OJ1" s="60">
        <f t="shared" si="6"/>
        <v>0</v>
      </c>
      <c r="OK1" s="60">
        <f t="shared" si="6"/>
        <v>0</v>
      </c>
      <c r="OL1" s="60">
        <f t="shared" si="6"/>
        <v>0</v>
      </c>
      <c r="OM1" s="60">
        <f t="shared" si="6"/>
        <v>0</v>
      </c>
      <c r="ON1" s="60">
        <f t="shared" si="6"/>
        <v>0</v>
      </c>
      <c r="OO1" s="60">
        <f t="shared" si="6"/>
        <v>0</v>
      </c>
      <c r="OP1" s="60">
        <f t="shared" si="6"/>
        <v>0</v>
      </c>
      <c r="OQ1" s="60">
        <f t="shared" si="6"/>
        <v>0</v>
      </c>
      <c r="OR1" s="60">
        <f t="shared" si="6"/>
        <v>0</v>
      </c>
      <c r="OS1" s="60">
        <f t="shared" si="6"/>
        <v>0</v>
      </c>
      <c r="OT1" s="60">
        <f t="shared" si="6"/>
        <v>0</v>
      </c>
      <c r="OU1" s="60">
        <f t="shared" si="6"/>
        <v>0</v>
      </c>
      <c r="OV1" s="60">
        <f t="shared" si="6"/>
        <v>0</v>
      </c>
      <c r="OW1" s="60">
        <f t="shared" si="6"/>
        <v>0</v>
      </c>
      <c r="OX1" s="60">
        <f t="shared" si="6"/>
        <v>0</v>
      </c>
      <c r="OY1" s="60">
        <f t="shared" si="6"/>
        <v>0</v>
      </c>
      <c r="OZ1" s="60">
        <f t="shared" si="6"/>
        <v>0</v>
      </c>
      <c r="PA1" s="60">
        <f t="shared" si="6"/>
        <v>0</v>
      </c>
      <c r="PB1" s="60">
        <f t="shared" si="6"/>
        <v>0</v>
      </c>
      <c r="PC1" s="60">
        <f t="shared" si="6"/>
        <v>0</v>
      </c>
      <c r="PD1" s="60">
        <f t="shared" si="6"/>
        <v>0</v>
      </c>
      <c r="PE1" s="60">
        <f t="shared" si="6"/>
        <v>0</v>
      </c>
      <c r="PF1" s="60">
        <f t="shared" si="6"/>
        <v>0</v>
      </c>
      <c r="PG1" s="60">
        <f t="shared" si="6"/>
        <v>0</v>
      </c>
      <c r="PH1" s="60">
        <f t="shared" si="6"/>
        <v>0</v>
      </c>
      <c r="PI1" s="60">
        <f t="shared" si="6"/>
        <v>0</v>
      </c>
      <c r="PJ1" s="60">
        <f t="shared" si="6"/>
        <v>0</v>
      </c>
      <c r="PK1" s="60">
        <f t="shared" si="6"/>
        <v>0</v>
      </c>
      <c r="PL1" s="60">
        <f t="shared" si="6"/>
        <v>0</v>
      </c>
      <c r="PM1" s="60">
        <f t="shared" si="6"/>
        <v>0</v>
      </c>
      <c r="PN1" s="60">
        <f t="shared" si="6"/>
        <v>0</v>
      </c>
      <c r="PO1" s="60">
        <f t="shared" si="6"/>
        <v>0</v>
      </c>
      <c r="PP1" s="60">
        <f t="shared" si="6"/>
        <v>0</v>
      </c>
      <c r="PQ1" s="60">
        <f t="shared" si="6"/>
        <v>0</v>
      </c>
      <c r="PR1" s="60">
        <f t="shared" si="6"/>
        <v>0</v>
      </c>
      <c r="PS1" s="60">
        <f t="shared" si="6"/>
        <v>0</v>
      </c>
      <c r="PT1" s="60">
        <f t="shared" si="6"/>
        <v>0</v>
      </c>
      <c r="PU1" s="60">
        <f t="shared" si="6"/>
        <v>0</v>
      </c>
      <c r="PV1" s="60">
        <f t="shared" si="6"/>
        <v>0</v>
      </c>
      <c r="PW1" s="60">
        <f t="shared" si="6"/>
        <v>0</v>
      </c>
      <c r="PX1" s="60">
        <f t="shared" si="6"/>
        <v>0</v>
      </c>
      <c r="PY1" s="60">
        <f t="shared" si="6"/>
        <v>0</v>
      </c>
      <c r="PZ1" s="60">
        <f t="shared" si="6"/>
        <v>0</v>
      </c>
      <c r="QA1" s="60">
        <f t="shared" si="6"/>
        <v>0</v>
      </c>
      <c r="QB1" s="60">
        <f t="shared" si="6"/>
        <v>0</v>
      </c>
      <c r="QC1" s="60">
        <f t="shared" si="6"/>
        <v>0</v>
      </c>
      <c r="QD1" s="60">
        <f t="shared" si="6"/>
        <v>0</v>
      </c>
      <c r="QE1" s="60">
        <f t="shared" si="6"/>
        <v>0</v>
      </c>
      <c r="QF1" s="60">
        <f t="shared" si="6"/>
        <v>0</v>
      </c>
      <c r="QG1" s="60">
        <f t="shared" ref="QG1" si="7">SUM(QG4:QG250)</f>
        <v>0</v>
      </c>
    </row>
    <row r="2" spans="1:449" s="22" customFormat="1" ht="12.6" customHeight="1" x14ac:dyDescent="0.25">
      <c r="A2" s="16"/>
      <c r="B2" s="61"/>
      <c r="C2" s="61"/>
      <c r="D2" s="61"/>
      <c r="E2" s="60"/>
      <c r="F2" s="60"/>
      <c r="G2" s="60"/>
      <c r="H2" s="60"/>
      <c r="I2" s="60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60"/>
      <c r="AM2" s="60"/>
      <c r="AN2" s="60"/>
      <c r="AO2" s="60"/>
      <c r="AP2" s="60"/>
      <c r="AQ2" s="60"/>
      <c r="AR2" s="60"/>
      <c r="AS2" s="60"/>
      <c r="AT2" s="60"/>
      <c r="AU2" s="60"/>
      <c r="AV2" s="60"/>
      <c r="AW2" s="60"/>
      <c r="AX2" s="60"/>
      <c r="AY2" s="60"/>
      <c r="AZ2" s="60"/>
      <c r="BA2" s="60"/>
      <c r="BB2" s="60"/>
      <c r="BC2" s="60"/>
      <c r="BD2" s="60"/>
      <c r="BE2" s="60"/>
      <c r="BF2" s="60"/>
      <c r="BG2" s="60"/>
      <c r="BH2" s="60"/>
      <c r="BI2" s="60"/>
      <c r="BJ2" s="60"/>
      <c r="BK2" s="60"/>
      <c r="BL2" s="60"/>
      <c r="BM2" s="60"/>
      <c r="BN2" s="60"/>
      <c r="BO2" s="60"/>
      <c r="BP2" s="60"/>
      <c r="BQ2" s="60"/>
      <c r="BR2" s="60"/>
      <c r="BS2" s="60"/>
      <c r="BT2" s="60"/>
      <c r="BU2" s="60"/>
      <c r="BV2" s="60"/>
      <c r="BW2" s="60"/>
      <c r="BX2" s="60"/>
      <c r="BY2" s="60"/>
      <c r="BZ2" s="60"/>
      <c r="CA2" s="60"/>
      <c r="CB2" s="60"/>
      <c r="CC2" s="60"/>
      <c r="CD2" s="60"/>
      <c r="CE2" s="60"/>
      <c r="CF2" s="60"/>
      <c r="CG2" s="60"/>
      <c r="CH2" s="60"/>
      <c r="CI2" s="60"/>
      <c r="CJ2" s="60"/>
      <c r="CK2" s="60"/>
      <c r="CL2" s="60"/>
      <c r="CM2" s="60"/>
      <c r="CN2" s="60"/>
      <c r="CO2" s="60"/>
      <c r="CP2" s="60"/>
      <c r="CQ2" s="60"/>
      <c r="CR2" s="60"/>
      <c r="CS2" s="60"/>
      <c r="CT2" s="60"/>
      <c r="CU2" s="60"/>
      <c r="CV2" s="60"/>
      <c r="CW2" s="60"/>
      <c r="CX2" s="60"/>
      <c r="CY2" s="60"/>
      <c r="CZ2" s="60"/>
      <c r="DA2" s="60"/>
      <c r="DB2" s="60"/>
      <c r="DC2" s="60"/>
      <c r="DD2" s="60"/>
      <c r="DE2" s="60"/>
      <c r="DF2" s="60"/>
      <c r="DG2" s="60"/>
      <c r="DH2" s="60"/>
      <c r="DI2" s="60"/>
      <c r="DJ2" s="60"/>
      <c r="DK2" s="60"/>
      <c r="DL2" s="60"/>
      <c r="DM2" s="60"/>
      <c r="DN2" s="60"/>
      <c r="DO2" s="60"/>
      <c r="DP2" s="60"/>
      <c r="DQ2" s="60"/>
      <c r="DR2" s="60"/>
      <c r="DS2" s="60"/>
      <c r="DT2" s="60"/>
      <c r="DU2" s="60"/>
      <c r="DV2" s="60"/>
      <c r="DW2" s="60"/>
      <c r="DX2" s="60"/>
      <c r="DY2" s="60"/>
      <c r="DZ2" s="60"/>
      <c r="EA2" s="60"/>
      <c r="EB2" s="60"/>
      <c r="EC2" s="60"/>
      <c r="ED2" s="60"/>
      <c r="EE2" s="60"/>
      <c r="EF2" s="60"/>
      <c r="EG2" s="60"/>
      <c r="EH2" s="60"/>
      <c r="EI2" s="60"/>
      <c r="EJ2" s="60"/>
      <c r="EK2" s="60"/>
      <c r="EL2" s="60"/>
      <c r="EM2" s="60"/>
      <c r="EN2" s="60"/>
      <c r="EO2" s="60"/>
      <c r="EP2" s="60"/>
      <c r="EQ2" s="60"/>
      <c r="ER2" s="60"/>
      <c r="ES2" s="60"/>
      <c r="ET2" s="60"/>
      <c r="EU2" s="60"/>
      <c r="EV2" s="60"/>
      <c r="EW2" s="60"/>
      <c r="EX2" s="60"/>
      <c r="EY2" s="60"/>
      <c r="EZ2" s="60"/>
      <c r="FA2" s="60"/>
      <c r="FB2" s="60"/>
      <c r="FC2" s="60"/>
      <c r="FD2" s="60"/>
      <c r="FE2" s="60"/>
      <c r="FF2" s="60"/>
      <c r="FG2" s="60"/>
      <c r="FH2" s="60"/>
      <c r="FI2" s="60"/>
      <c r="FJ2" s="60"/>
      <c r="FK2" s="60"/>
      <c r="FL2" s="60"/>
      <c r="FM2" s="60"/>
      <c r="FN2" s="60"/>
      <c r="FO2" s="60"/>
      <c r="FP2" s="60"/>
      <c r="FQ2" s="60"/>
      <c r="FR2" s="60"/>
      <c r="FS2" s="60"/>
      <c r="FT2" s="60"/>
      <c r="FU2" s="60"/>
      <c r="FV2" s="60"/>
      <c r="FW2" s="60"/>
      <c r="FX2" s="60"/>
      <c r="FY2" s="60"/>
      <c r="FZ2" s="60"/>
      <c r="GA2" s="60"/>
      <c r="GB2" s="60"/>
      <c r="GC2" s="60"/>
      <c r="GD2" s="60"/>
      <c r="GE2" s="60"/>
      <c r="GF2" s="60"/>
      <c r="GG2" s="60"/>
      <c r="GH2" s="60"/>
      <c r="GI2" s="60"/>
      <c r="GJ2" s="60"/>
      <c r="GK2" s="60"/>
      <c r="GL2" s="60"/>
      <c r="GM2" s="60"/>
      <c r="GN2" s="60"/>
      <c r="GO2" s="60"/>
      <c r="GP2" s="60"/>
      <c r="GQ2" s="60"/>
      <c r="GR2" s="60"/>
      <c r="GS2" s="60"/>
      <c r="GT2" s="60"/>
      <c r="GU2" s="60"/>
      <c r="GV2" s="60"/>
      <c r="GW2" s="60"/>
      <c r="GX2" s="60"/>
      <c r="GY2" s="60"/>
      <c r="GZ2" s="60"/>
      <c r="HA2" s="60"/>
      <c r="HB2" s="60"/>
      <c r="HC2" s="60"/>
      <c r="HD2" s="60"/>
      <c r="HE2" s="60"/>
      <c r="HF2" s="60"/>
      <c r="HG2" s="60"/>
      <c r="HH2" s="60"/>
      <c r="HI2" s="60"/>
      <c r="HJ2" s="60"/>
      <c r="HK2" s="60"/>
      <c r="HL2" s="60"/>
      <c r="HM2" s="60"/>
      <c r="HN2" s="60"/>
      <c r="HO2" s="60"/>
      <c r="HP2" s="60"/>
      <c r="HQ2" s="60"/>
      <c r="HR2" s="60"/>
      <c r="HS2" s="60"/>
      <c r="HT2" s="60"/>
      <c r="HU2" s="60"/>
      <c r="HV2" s="60"/>
      <c r="HW2" s="60"/>
      <c r="HX2" s="60"/>
      <c r="HY2" s="60"/>
      <c r="HZ2" s="60"/>
      <c r="IA2" s="60"/>
      <c r="IB2" s="60"/>
      <c r="IC2" s="60"/>
      <c r="ID2" s="60"/>
      <c r="IE2" s="60"/>
      <c r="IF2" s="60"/>
      <c r="IG2" s="60"/>
      <c r="IH2" s="60"/>
      <c r="II2" s="60"/>
      <c r="IJ2" s="60"/>
      <c r="IK2" s="60"/>
      <c r="IL2" s="60"/>
      <c r="IM2" s="60"/>
      <c r="IN2" s="60"/>
      <c r="IO2" s="60"/>
      <c r="IP2" s="60"/>
      <c r="IQ2" s="60"/>
      <c r="IR2" s="60"/>
      <c r="IS2" s="60"/>
      <c r="IT2" s="60"/>
      <c r="IU2" s="60"/>
      <c r="IV2" s="60"/>
      <c r="IW2" s="60"/>
      <c r="IX2" s="60"/>
      <c r="IY2" s="60"/>
      <c r="IZ2" s="60"/>
      <c r="JA2" s="60"/>
      <c r="JB2" s="60"/>
      <c r="JC2" s="60"/>
      <c r="JD2" s="60"/>
      <c r="JE2" s="60"/>
      <c r="JF2" s="60"/>
      <c r="JG2" s="60"/>
      <c r="JH2" s="60"/>
      <c r="JI2" s="60"/>
      <c r="JJ2" s="60"/>
      <c r="JK2" s="60"/>
      <c r="JL2" s="60"/>
      <c r="JM2" s="60"/>
      <c r="JN2" s="60"/>
      <c r="JO2" s="60"/>
      <c r="JP2" s="60"/>
      <c r="JQ2" s="60"/>
      <c r="JR2" s="60"/>
      <c r="JS2" s="60"/>
      <c r="JT2" s="60"/>
      <c r="JU2" s="60"/>
      <c r="JV2" s="60"/>
      <c r="JW2" s="60"/>
      <c r="JX2" s="60"/>
      <c r="JY2" s="60"/>
      <c r="JZ2" s="60"/>
      <c r="KA2" s="60"/>
      <c r="KB2" s="60"/>
      <c r="KC2" s="60"/>
      <c r="KD2" s="60"/>
      <c r="KE2" s="60"/>
      <c r="KF2" s="60"/>
      <c r="KG2" s="60"/>
      <c r="KH2" s="60"/>
      <c r="KI2" s="60"/>
      <c r="KJ2" s="60"/>
      <c r="KK2" s="60"/>
      <c r="KL2" s="60"/>
      <c r="KM2" s="60"/>
      <c r="KN2" s="60"/>
      <c r="KO2" s="60"/>
      <c r="KP2" s="60"/>
      <c r="KQ2" s="60"/>
      <c r="KR2" s="60"/>
      <c r="KS2" s="60"/>
      <c r="KT2" s="60"/>
      <c r="KU2" s="60"/>
      <c r="KV2" s="60"/>
      <c r="KW2" s="60"/>
      <c r="KX2" s="60"/>
      <c r="KY2" s="60"/>
      <c r="KZ2" s="60"/>
      <c r="LA2" s="60"/>
      <c r="LB2" s="60"/>
      <c r="LC2" s="60"/>
      <c r="LD2" s="60"/>
      <c r="LE2" s="60"/>
      <c r="LF2" s="60"/>
      <c r="LG2" s="60"/>
      <c r="LH2" s="60"/>
      <c r="LI2" s="60"/>
      <c r="LJ2" s="60"/>
      <c r="LK2" s="60"/>
      <c r="LL2" s="60"/>
      <c r="LM2" s="60"/>
      <c r="LN2" s="60"/>
      <c r="LO2" s="60"/>
      <c r="LP2" s="60"/>
      <c r="LQ2" s="60"/>
      <c r="LR2" s="60"/>
      <c r="LS2" s="60"/>
      <c r="LT2" s="60"/>
      <c r="LU2" s="60"/>
      <c r="LV2" s="60"/>
      <c r="LW2" s="60"/>
      <c r="LX2" s="60"/>
      <c r="LY2" s="60"/>
      <c r="LZ2" s="60"/>
      <c r="MA2" s="60"/>
      <c r="MB2" s="60"/>
      <c r="MC2" s="60"/>
      <c r="MD2" s="60"/>
      <c r="ME2" s="60"/>
      <c r="MF2" s="60"/>
      <c r="MG2" s="60"/>
      <c r="MH2" s="60"/>
      <c r="MI2" s="60"/>
      <c r="MJ2" s="60"/>
      <c r="MK2" s="60"/>
      <c r="ML2" s="60"/>
      <c r="MM2" s="60"/>
      <c r="MN2" s="60"/>
      <c r="MO2" s="60"/>
      <c r="MP2" s="60"/>
      <c r="MQ2" s="60"/>
      <c r="MR2" s="60"/>
      <c r="MS2" s="60"/>
      <c r="MT2" s="60"/>
      <c r="MU2" s="60"/>
      <c r="MV2" s="60"/>
      <c r="MW2" s="60"/>
      <c r="MX2" s="60"/>
      <c r="MY2" s="60"/>
      <c r="MZ2" s="60"/>
      <c r="NA2" s="60"/>
      <c r="NB2" s="60"/>
      <c r="NC2" s="60"/>
      <c r="ND2" s="60"/>
      <c r="NE2" s="60"/>
      <c r="NF2" s="60"/>
      <c r="NG2" s="60"/>
      <c r="NH2" s="60"/>
      <c r="NI2" s="60"/>
      <c r="NJ2" s="60"/>
      <c r="NK2" s="60"/>
      <c r="NL2" s="60"/>
      <c r="NM2" s="60"/>
      <c r="NN2" s="60"/>
      <c r="NO2" s="60"/>
      <c r="NP2" s="60"/>
      <c r="NQ2" s="60"/>
      <c r="NR2" s="60"/>
      <c r="NS2" s="60"/>
      <c r="NT2" s="60"/>
      <c r="NU2" s="60"/>
      <c r="NV2" s="60"/>
      <c r="NW2" s="60"/>
      <c r="NX2" s="60"/>
      <c r="NY2" s="60"/>
      <c r="NZ2" s="60"/>
      <c r="OA2" s="60"/>
      <c r="OB2" s="60"/>
      <c r="OC2" s="60"/>
      <c r="OD2" s="60"/>
      <c r="OE2" s="60"/>
      <c r="OF2" s="60"/>
      <c r="OG2" s="60"/>
      <c r="OH2" s="60"/>
      <c r="OI2" s="60"/>
      <c r="OJ2" s="60"/>
      <c r="OK2" s="60"/>
      <c r="OL2" s="60"/>
      <c r="OM2" s="60"/>
      <c r="ON2" s="60"/>
      <c r="OO2" s="60"/>
      <c r="OP2" s="60"/>
      <c r="OQ2" s="60"/>
      <c r="OR2" s="60"/>
      <c r="OS2" s="60"/>
      <c r="OT2" s="60"/>
      <c r="OU2" s="60"/>
      <c r="OV2" s="60"/>
      <c r="OW2" s="60"/>
      <c r="OX2" s="60"/>
      <c r="OY2" s="60"/>
      <c r="OZ2" s="60"/>
      <c r="PA2" s="60"/>
      <c r="PB2" s="60"/>
      <c r="PC2" s="60"/>
      <c r="PD2" s="60"/>
      <c r="PE2" s="60"/>
      <c r="PF2" s="60"/>
      <c r="PG2" s="60"/>
      <c r="PH2" s="60"/>
      <c r="PI2" s="60"/>
      <c r="PJ2" s="60"/>
      <c r="PK2" s="60"/>
      <c r="PL2" s="60"/>
      <c r="PM2" s="60"/>
      <c r="PN2" s="60"/>
      <c r="PO2" s="60"/>
      <c r="PP2" s="60"/>
      <c r="PQ2" s="60"/>
      <c r="PR2" s="60"/>
      <c r="PS2" s="60"/>
      <c r="PT2" s="60"/>
      <c r="PU2" s="60"/>
      <c r="PV2" s="60"/>
      <c r="PW2" s="60"/>
      <c r="PX2" s="60"/>
      <c r="PY2" s="60"/>
      <c r="PZ2" s="60"/>
      <c r="QA2" s="60"/>
      <c r="QB2" s="60"/>
      <c r="QC2" s="60"/>
      <c r="QD2" s="60"/>
      <c r="QE2" s="60"/>
      <c r="QF2" s="60"/>
      <c r="QG2" s="60"/>
    </row>
    <row r="3" spans="1:449" s="22" customFormat="1" x14ac:dyDescent="0.25">
      <c r="A3" s="16"/>
      <c r="B3" s="28" t="s">
        <v>61</v>
      </c>
      <c r="C3" s="28" t="s">
        <v>62</v>
      </c>
      <c r="D3" s="28" t="s">
        <v>63</v>
      </c>
      <c r="E3" s="22" t="str">
        <f>TRIM(下注输入!B3)</f>
        <v>张三</v>
      </c>
      <c r="F3" s="22" t="str">
        <f>TRIM(下注输入!C3)</f>
        <v>张三</v>
      </c>
      <c r="G3" s="22" t="str">
        <f>TRIM(下注输入!D3)</f>
        <v>张三</v>
      </c>
      <c r="H3" s="22" t="str">
        <f>TRIM(下注输入!E3)</f>
        <v>张三</v>
      </c>
      <c r="I3" s="22" t="str">
        <f>TRIM(下注输入!F3)</f>
        <v>张三</v>
      </c>
      <c r="J3" s="22" t="str">
        <f>TRIM(下注输入!G3)</f>
        <v>李四</v>
      </c>
      <c r="K3" s="22" t="str">
        <f>TRIM(下注输入!H3)</f>
        <v>李四</v>
      </c>
      <c r="L3" s="22" t="str">
        <f>TRIM(下注输入!I3)</f>
        <v>李四</v>
      </c>
      <c r="M3" s="22" t="str">
        <f>TRIM(下注输入!J3)</f>
        <v>李四</v>
      </c>
      <c r="N3" s="22" t="str">
        <f>TRIM(下注输入!K3)</f>
        <v>李四</v>
      </c>
      <c r="O3" s="22" t="str">
        <f>TRIM(下注输入!L3)</f>
        <v>王二麻</v>
      </c>
      <c r="P3" s="22" t="str">
        <f>TRIM(下注输入!M3)</f>
        <v>王二麻</v>
      </c>
      <c r="Q3" s="22" t="str">
        <f>TRIM(下注输入!N3)</f>
        <v>王二麻</v>
      </c>
      <c r="R3" s="22" t="str">
        <f>TRIM(下注输入!O3)</f>
        <v>王二麻</v>
      </c>
      <c r="S3" s="22" t="str">
        <f>TRIM(下注输入!P3)</f>
        <v>王二麻</v>
      </c>
      <c r="T3" s="22" t="str">
        <f>TRIM(下注输入!Q3)</f>
        <v>111</v>
      </c>
      <c r="U3" s="22" t="str">
        <f>TRIM(下注输入!R3)</f>
        <v>111</v>
      </c>
      <c r="V3" s="22" t="str">
        <f>TRIM(下注输入!S3)</f>
        <v>111</v>
      </c>
      <c r="W3" s="22" t="str">
        <f>TRIM(下注输入!T3)</f>
        <v>222</v>
      </c>
      <c r="X3" s="22" t="str">
        <f>TRIM(下注输入!U3)</f>
        <v>333</v>
      </c>
      <c r="Y3" s="22" t="str">
        <f>TRIM(下注输入!V3)</f>
        <v/>
      </c>
      <c r="Z3" s="22" t="str">
        <f>TRIM(下注输入!W3)</f>
        <v/>
      </c>
      <c r="AA3" s="22" t="str">
        <f>TRIM(下注输入!X3)</f>
        <v/>
      </c>
      <c r="AB3" s="22" t="str">
        <f>TRIM(下注输入!Y3)</f>
        <v/>
      </c>
      <c r="AC3" s="22" t="str">
        <f>TRIM(下注输入!Z3)</f>
        <v/>
      </c>
      <c r="AD3" s="22" t="str">
        <f>TRIM(下注输入!AA3)</f>
        <v/>
      </c>
      <c r="AE3" s="22" t="str">
        <f>TRIM(下注输入!AB3)</f>
        <v/>
      </c>
      <c r="AF3" s="22" t="str">
        <f>TRIM(下注输入!AC3)</f>
        <v/>
      </c>
      <c r="AG3" s="22" t="str">
        <f>TRIM(下注输入!AD3)</f>
        <v/>
      </c>
      <c r="AH3" s="22" t="str">
        <f>TRIM(下注输入!AE3)</f>
        <v/>
      </c>
      <c r="AI3" s="22" t="str">
        <f>TRIM(下注输入!AF3)</f>
        <v/>
      </c>
      <c r="AJ3" s="22" t="str">
        <f>TRIM(下注输入!AG3)</f>
        <v/>
      </c>
      <c r="AK3" s="22" t="str">
        <f>TRIM(下注输入!AH3)</f>
        <v/>
      </c>
      <c r="AL3" s="22" t="str">
        <f>TRIM(下注输入!AI3)</f>
        <v/>
      </c>
      <c r="AM3" s="22" t="str">
        <f>TRIM(下注输入!AJ3)</f>
        <v/>
      </c>
      <c r="AN3" s="22" t="str">
        <f>TRIM(下注输入!AK3)</f>
        <v/>
      </c>
      <c r="AO3" s="22" t="str">
        <f>TRIM(下注输入!AL3)</f>
        <v/>
      </c>
      <c r="AP3" s="22" t="str">
        <f>TRIM(下注输入!AM3)</f>
        <v/>
      </c>
      <c r="AQ3" s="22" t="str">
        <f>TRIM(下注输入!AN3)</f>
        <v/>
      </c>
      <c r="AR3" s="22" t="str">
        <f>TRIM(下注输入!AO3)</f>
        <v/>
      </c>
      <c r="AS3" s="22" t="str">
        <f>TRIM(下注输入!AP3)</f>
        <v/>
      </c>
      <c r="AT3" s="22" t="str">
        <f>TRIM(下注输入!AQ3)</f>
        <v/>
      </c>
      <c r="AU3" s="22" t="str">
        <f>TRIM(下注输入!AR3)</f>
        <v/>
      </c>
      <c r="AV3" s="22" t="str">
        <f>TRIM(下注输入!AS3)</f>
        <v/>
      </c>
      <c r="AW3" s="22" t="str">
        <f>TRIM(下注输入!AT3)</f>
        <v/>
      </c>
      <c r="AX3" s="22" t="str">
        <f>TRIM(下注输入!AU3)</f>
        <v/>
      </c>
      <c r="AY3" s="22" t="str">
        <f>TRIM(下注输入!AV3)</f>
        <v/>
      </c>
      <c r="AZ3" s="22" t="str">
        <f>TRIM(下注输入!AW3)</f>
        <v/>
      </c>
      <c r="BA3" s="22" t="str">
        <f>TRIM(下注输入!AX3)</f>
        <v/>
      </c>
      <c r="BB3" s="22" t="str">
        <f>TRIM(下注输入!AY3)</f>
        <v/>
      </c>
      <c r="BC3" s="22" t="str">
        <f>TRIM(下注输入!AZ3)</f>
        <v/>
      </c>
      <c r="BD3" s="22" t="str">
        <f>TRIM(下注输入!BA3)</f>
        <v/>
      </c>
      <c r="BE3" s="22" t="str">
        <f>TRIM(下注输入!BB3)</f>
        <v/>
      </c>
      <c r="BF3" s="22" t="str">
        <f>TRIM(下注输入!BC3)</f>
        <v/>
      </c>
      <c r="BG3" s="22" t="str">
        <f>TRIM(下注输入!BD3)</f>
        <v/>
      </c>
      <c r="BH3" s="22" t="str">
        <f>TRIM(下注输入!BE3)</f>
        <v/>
      </c>
      <c r="BI3" s="22" t="str">
        <f>TRIM(下注输入!BF3)</f>
        <v/>
      </c>
      <c r="BJ3" s="22" t="str">
        <f>TRIM(下注输入!BG3)</f>
        <v/>
      </c>
      <c r="BK3" s="22" t="str">
        <f>TRIM(下注输入!BH3)</f>
        <v/>
      </c>
      <c r="BL3" s="22" t="str">
        <f>TRIM(下注输入!BI3)</f>
        <v/>
      </c>
      <c r="BM3" s="22" t="str">
        <f>TRIM(下注输入!BJ3)</f>
        <v/>
      </c>
      <c r="BN3" s="22" t="str">
        <f>TRIM(下注输入!BK3)</f>
        <v/>
      </c>
      <c r="BO3" s="22" t="str">
        <f>TRIM(下注输入!BL3)</f>
        <v/>
      </c>
      <c r="BP3" s="22" t="str">
        <f>TRIM(下注输入!BM3)</f>
        <v/>
      </c>
      <c r="BQ3" s="22" t="str">
        <f>TRIM(下注输入!BN3)</f>
        <v/>
      </c>
      <c r="BR3" s="22" t="str">
        <f>TRIM(下注输入!BO3)</f>
        <v/>
      </c>
      <c r="BS3" s="22" t="str">
        <f>TRIM(下注输入!BP3)</f>
        <v/>
      </c>
      <c r="BT3" s="22" t="str">
        <f>TRIM(下注输入!BQ3)</f>
        <v/>
      </c>
      <c r="BU3" s="22" t="str">
        <f>TRIM(下注输入!BR3)</f>
        <v/>
      </c>
      <c r="BV3" s="22" t="str">
        <f>TRIM(下注输入!BS3)</f>
        <v/>
      </c>
      <c r="BW3" s="22" t="str">
        <f>TRIM(下注输入!BT3)</f>
        <v/>
      </c>
      <c r="BX3" s="22" t="str">
        <f>TRIM(下注输入!BU3)</f>
        <v/>
      </c>
      <c r="BY3" s="22" t="str">
        <f>TRIM(下注输入!BV3)</f>
        <v/>
      </c>
      <c r="BZ3" s="22" t="str">
        <f>TRIM(下注输入!BW3)</f>
        <v/>
      </c>
      <c r="CA3" s="22" t="str">
        <f>TRIM(下注输入!BX3)</f>
        <v/>
      </c>
      <c r="CB3" s="22" t="str">
        <f>TRIM(下注输入!BY3)</f>
        <v/>
      </c>
      <c r="CC3" s="22" t="str">
        <f>TRIM(下注输入!BZ3)</f>
        <v/>
      </c>
      <c r="CD3" s="22" t="str">
        <f>TRIM(下注输入!CA3)</f>
        <v/>
      </c>
      <c r="CE3" s="22" t="str">
        <f>TRIM(下注输入!CB3)</f>
        <v/>
      </c>
      <c r="CF3" s="22" t="str">
        <f>TRIM(下注输入!CC3)</f>
        <v/>
      </c>
      <c r="CG3" s="22" t="str">
        <f>TRIM(下注输入!CD3)</f>
        <v/>
      </c>
      <c r="CH3" s="22" t="str">
        <f>TRIM(下注输入!CE3)</f>
        <v/>
      </c>
      <c r="CI3" s="22" t="str">
        <f>TRIM(下注输入!CF3)</f>
        <v/>
      </c>
      <c r="CJ3" s="22" t="str">
        <f>TRIM(下注输入!CG3)</f>
        <v/>
      </c>
      <c r="CK3" s="22" t="str">
        <f>TRIM(下注输入!CH3)</f>
        <v/>
      </c>
      <c r="CL3" s="22" t="str">
        <f>TRIM(下注输入!CI3)</f>
        <v/>
      </c>
      <c r="CM3" s="22" t="str">
        <f>TRIM(下注输入!CJ3)</f>
        <v/>
      </c>
      <c r="CN3" s="22" t="str">
        <f>TRIM(下注输入!CK3)</f>
        <v/>
      </c>
      <c r="CO3" s="22" t="str">
        <f>TRIM(下注输入!CL3)</f>
        <v/>
      </c>
      <c r="CP3" s="22" t="str">
        <f>TRIM(下注输入!CM3)</f>
        <v/>
      </c>
      <c r="CQ3" s="22" t="str">
        <f>TRIM(下注输入!CN3)</f>
        <v/>
      </c>
      <c r="CR3" s="22" t="str">
        <f>TRIM(下注输入!CO3)</f>
        <v/>
      </c>
      <c r="CS3" s="22" t="str">
        <f>TRIM(下注输入!CP3)</f>
        <v/>
      </c>
      <c r="CT3" s="22" t="str">
        <f>TRIM(下注输入!CQ3)</f>
        <v/>
      </c>
      <c r="CU3" s="22" t="str">
        <f>TRIM(下注输入!CR3)</f>
        <v/>
      </c>
      <c r="CV3" s="22" t="str">
        <f>TRIM(下注输入!CS3)</f>
        <v/>
      </c>
      <c r="CW3" s="22" t="str">
        <f>TRIM(下注输入!CT3)</f>
        <v/>
      </c>
      <c r="CX3" s="22" t="str">
        <f>TRIM(下注输入!CU3)</f>
        <v/>
      </c>
      <c r="CY3" s="22" t="str">
        <f>TRIM(下注输入!CV3)</f>
        <v/>
      </c>
      <c r="CZ3" s="22" t="str">
        <f>TRIM(下注输入!CW3)</f>
        <v/>
      </c>
      <c r="DA3" s="22" t="str">
        <f>TRIM(下注输入!CX3)</f>
        <v/>
      </c>
      <c r="DB3" s="22" t="str">
        <f>TRIM(下注输入!CY3)</f>
        <v/>
      </c>
      <c r="DC3" s="22" t="str">
        <f>TRIM(下注输入!CZ3)</f>
        <v/>
      </c>
      <c r="DD3" s="22" t="str">
        <f>TRIM(下注输入!DA3)</f>
        <v/>
      </c>
      <c r="DE3" s="22" t="str">
        <f>TRIM(下注输入!DB3)</f>
        <v/>
      </c>
      <c r="DF3" s="22" t="str">
        <f>TRIM(下注输入!DC3)</f>
        <v/>
      </c>
      <c r="DG3" s="22" t="str">
        <f>TRIM(下注输入!DD3)</f>
        <v/>
      </c>
      <c r="DH3" s="22" t="str">
        <f>TRIM(下注输入!DE3)</f>
        <v/>
      </c>
      <c r="DI3" s="22" t="str">
        <f>TRIM(下注输入!DF3)</f>
        <v/>
      </c>
      <c r="DJ3" s="22" t="str">
        <f>TRIM(下注输入!DG3)</f>
        <v/>
      </c>
      <c r="DK3" s="22" t="str">
        <f>TRIM(下注输入!DH3)</f>
        <v/>
      </c>
      <c r="DL3" s="22" t="str">
        <f>TRIM(下注输入!DI3)</f>
        <v/>
      </c>
      <c r="DM3" s="22" t="str">
        <f>TRIM(下注输入!DJ3)</f>
        <v/>
      </c>
      <c r="DN3" s="22" t="str">
        <f>TRIM(下注输入!DK3)</f>
        <v/>
      </c>
      <c r="DO3" s="22" t="str">
        <f>TRIM(下注输入!DL3)</f>
        <v/>
      </c>
      <c r="DP3" s="22" t="str">
        <f>TRIM(下注输入!DM3)</f>
        <v/>
      </c>
      <c r="DQ3" s="22" t="str">
        <f>TRIM(下注输入!DN3)</f>
        <v/>
      </c>
      <c r="DR3" s="22" t="str">
        <f>TRIM(下注输入!DO3)</f>
        <v/>
      </c>
      <c r="DS3" s="22" t="str">
        <f>TRIM(下注输入!DP3)</f>
        <v/>
      </c>
      <c r="DT3" s="22" t="str">
        <f>TRIM(下注输入!DQ3)</f>
        <v/>
      </c>
      <c r="DU3" s="22" t="str">
        <f>TRIM(下注输入!DR3)</f>
        <v/>
      </c>
      <c r="DV3" s="22" t="str">
        <f>TRIM(下注输入!DS3)</f>
        <v/>
      </c>
      <c r="DW3" s="22" t="str">
        <f>TRIM(下注输入!DT3)</f>
        <v/>
      </c>
      <c r="DX3" s="22" t="str">
        <f>TRIM(下注输入!DU3)</f>
        <v/>
      </c>
      <c r="DY3" s="22" t="str">
        <f>TRIM(下注输入!DV3)</f>
        <v/>
      </c>
      <c r="DZ3" s="22" t="str">
        <f>TRIM(下注输入!DW3)</f>
        <v/>
      </c>
      <c r="EA3" s="22" t="str">
        <f>TRIM(下注输入!DX3)</f>
        <v/>
      </c>
      <c r="EB3" s="22" t="str">
        <f>TRIM(下注输入!DY3)</f>
        <v/>
      </c>
      <c r="EC3" s="22" t="str">
        <f>TRIM(下注输入!DZ3)</f>
        <v/>
      </c>
      <c r="ED3" s="22" t="str">
        <f>TRIM(下注输入!EA3)</f>
        <v/>
      </c>
      <c r="EE3" s="22" t="str">
        <f>TRIM(下注输入!EB3)</f>
        <v/>
      </c>
      <c r="EF3" s="22" t="str">
        <f>TRIM(下注输入!EC3)</f>
        <v/>
      </c>
      <c r="EG3" s="22" t="str">
        <f>TRIM(下注输入!ED3)</f>
        <v/>
      </c>
      <c r="EH3" s="22" t="str">
        <f>TRIM(下注输入!EE3)</f>
        <v/>
      </c>
      <c r="EI3" s="22" t="str">
        <f>TRIM(下注输入!EF3)</f>
        <v/>
      </c>
      <c r="EJ3" s="22" t="str">
        <f>TRIM(下注输入!EG3)</f>
        <v/>
      </c>
      <c r="EK3" s="22" t="str">
        <f>TRIM(下注输入!EH3)</f>
        <v/>
      </c>
      <c r="EL3" s="22" t="str">
        <f>TRIM(下注输入!EI3)</f>
        <v/>
      </c>
      <c r="EM3" s="22" t="str">
        <f>TRIM(下注输入!EJ3)</f>
        <v/>
      </c>
      <c r="EN3" s="22" t="str">
        <f>TRIM(下注输入!EK3)</f>
        <v/>
      </c>
      <c r="EO3" s="22" t="str">
        <f>TRIM(下注输入!EL3)</f>
        <v/>
      </c>
      <c r="EP3" s="22" t="str">
        <f>TRIM(下注输入!EM3)</f>
        <v/>
      </c>
      <c r="EQ3" s="22" t="str">
        <f>TRIM(下注输入!EN3)</f>
        <v/>
      </c>
      <c r="ER3" s="22" t="str">
        <f>TRIM(下注输入!EO3)</f>
        <v/>
      </c>
      <c r="ES3" s="22" t="str">
        <f>TRIM(下注输入!EP3)</f>
        <v/>
      </c>
      <c r="ET3" s="22" t="str">
        <f>TRIM(下注输入!EQ3)</f>
        <v/>
      </c>
      <c r="EU3" s="22" t="str">
        <f>TRIM(下注输入!ER3)</f>
        <v/>
      </c>
      <c r="EV3" s="22" t="str">
        <f>TRIM(下注输入!ES3)</f>
        <v/>
      </c>
      <c r="EW3" s="22" t="str">
        <f>TRIM(下注输入!ET3)</f>
        <v/>
      </c>
      <c r="EX3" s="22" t="str">
        <f>TRIM(下注输入!EU3)</f>
        <v/>
      </c>
      <c r="EY3" s="22" t="str">
        <f>TRIM(下注输入!EV3)</f>
        <v/>
      </c>
      <c r="EZ3" s="22" t="str">
        <f>TRIM(下注输入!EW3)</f>
        <v/>
      </c>
      <c r="FA3" s="22" t="str">
        <f>TRIM(下注输入!EX3)</f>
        <v/>
      </c>
      <c r="FB3" s="22" t="str">
        <f>TRIM(下注输入!EY3)</f>
        <v/>
      </c>
      <c r="FC3" s="22" t="str">
        <f>TRIM(下注输入!EZ3)</f>
        <v/>
      </c>
      <c r="FD3" s="22" t="str">
        <f>TRIM(下注输入!FA3)</f>
        <v/>
      </c>
      <c r="FE3" s="22" t="str">
        <f>TRIM(下注输入!FB3)</f>
        <v/>
      </c>
      <c r="FF3" s="22" t="str">
        <f>TRIM(下注输入!FC3)</f>
        <v/>
      </c>
      <c r="FG3" s="22" t="str">
        <f>TRIM(下注输入!FD3)</f>
        <v/>
      </c>
      <c r="FH3" s="22" t="str">
        <f>TRIM(下注输入!FE3)</f>
        <v/>
      </c>
      <c r="FI3" s="22" t="str">
        <f>TRIM(下注输入!FF3)</f>
        <v/>
      </c>
      <c r="FJ3" s="22" t="str">
        <f>TRIM(下注输入!FG3)</f>
        <v/>
      </c>
      <c r="FK3" s="22" t="str">
        <f>TRIM(下注输入!FH3)</f>
        <v/>
      </c>
      <c r="FL3" s="22" t="str">
        <f>TRIM(下注输入!FI3)</f>
        <v/>
      </c>
      <c r="FM3" s="22" t="str">
        <f>TRIM(下注输入!FJ3)</f>
        <v/>
      </c>
      <c r="FN3" s="22" t="str">
        <f>TRIM(下注输入!FK3)</f>
        <v/>
      </c>
      <c r="FO3" s="22" t="str">
        <f>TRIM(下注输入!FL3)</f>
        <v/>
      </c>
      <c r="FP3" s="22" t="str">
        <f>TRIM(下注输入!FM3)</f>
        <v/>
      </c>
      <c r="FQ3" s="22" t="str">
        <f>TRIM(下注输入!FN3)</f>
        <v/>
      </c>
      <c r="FR3" s="22" t="str">
        <f>TRIM(下注输入!FO3)</f>
        <v/>
      </c>
      <c r="FS3" s="22" t="str">
        <f>TRIM(下注输入!FP3)</f>
        <v/>
      </c>
      <c r="FT3" s="22" t="str">
        <f>TRIM(下注输入!FQ3)</f>
        <v/>
      </c>
      <c r="FU3" s="22" t="str">
        <f>TRIM(下注输入!FR3)</f>
        <v/>
      </c>
      <c r="FV3" s="22" t="str">
        <f>TRIM(下注输入!FS3)</f>
        <v/>
      </c>
      <c r="FW3" s="22" t="str">
        <f>TRIM(下注输入!FT3)</f>
        <v/>
      </c>
      <c r="FX3" s="22" t="str">
        <f>TRIM(下注输入!FU3)</f>
        <v/>
      </c>
      <c r="FY3" s="22" t="str">
        <f>TRIM(下注输入!FV3)</f>
        <v/>
      </c>
      <c r="FZ3" s="22" t="str">
        <f>TRIM(下注输入!FW3)</f>
        <v/>
      </c>
      <c r="GA3" s="22" t="str">
        <f>TRIM(下注输入!FX3)</f>
        <v/>
      </c>
      <c r="GB3" s="22" t="str">
        <f>TRIM(下注输入!FY3)</f>
        <v/>
      </c>
      <c r="GC3" s="22" t="str">
        <f>TRIM(下注输入!FZ3)</f>
        <v/>
      </c>
      <c r="GD3" s="22" t="str">
        <f>TRIM(下注输入!GA3)</f>
        <v/>
      </c>
      <c r="GE3" s="22" t="str">
        <f>TRIM(下注输入!GB3)</f>
        <v/>
      </c>
      <c r="GF3" s="22" t="str">
        <f>TRIM(下注输入!GC3)</f>
        <v/>
      </c>
      <c r="GG3" s="22" t="str">
        <f>TRIM(下注输入!GD3)</f>
        <v/>
      </c>
      <c r="GH3" s="22" t="str">
        <f>TRIM(下注输入!GE3)</f>
        <v/>
      </c>
      <c r="GI3" s="22" t="str">
        <f>TRIM(下注输入!GF3)</f>
        <v/>
      </c>
      <c r="GJ3" s="22" t="str">
        <f>TRIM(下注输入!GG3)</f>
        <v/>
      </c>
      <c r="GK3" s="22" t="str">
        <f>TRIM(下注输入!GH3)</f>
        <v/>
      </c>
      <c r="GL3" s="22" t="str">
        <f>TRIM(下注输入!GI3)</f>
        <v/>
      </c>
      <c r="GM3" s="22" t="str">
        <f>TRIM(下注输入!GJ3)</f>
        <v/>
      </c>
      <c r="GN3" s="22" t="str">
        <f>TRIM(下注输入!GK3)</f>
        <v/>
      </c>
      <c r="GO3" s="22" t="str">
        <f>TRIM(下注输入!GL3)</f>
        <v/>
      </c>
      <c r="GP3" s="22" t="str">
        <f>TRIM(下注输入!GM3)</f>
        <v/>
      </c>
      <c r="GQ3" s="22" t="str">
        <f>TRIM(下注输入!GN3)</f>
        <v/>
      </c>
      <c r="GR3" s="22" t="str">
        <f>TRIM(下注输入!GO3)</f>
        <v/>
      </c>
      <c r="GS3" s="22" t="str">
        <f>TRIM(下注输入!GP3)</f>
        <v/>
      </c>
      <c r="GT3" s="22" t="str">
        <f>TRIM(下注输入!GQ3)</f>
        <v/>
      </c>
      <c r="GU3" s="22" t="str">
        <f>TRIM(下注输入!GR3)</f>
        <v/>
      </c>
      <c r="GV3" s="22" t="str">
        <f>TRIM(下注输入!GS3)</f>
        <v/>
      </c>
      <c r="GW3" s="22" t="str">
        <f>TRIM(下注输入!GT3)</f>
        <v/>
      </c>
      <c r="GX3" s="22" t="str">
        <f>TRIM(下注输入!GU3)</f>
        <v/>
      </c>
      <c r="GY3" s="22" t="str">
        <f>TRIM(下注输入!GV3)</f>
        <v/>
      </c>
      <c r="GZ3" s="22" t="str">
        <f>TRIM(下注输入!GW3)</f>
        <v/>
      </c>
      <c r="HA3" s="22" t="str">
        <f>TRIM(下注输入!GX3)</f>
        <v/>
      </c>
      <c r="HB3" s="22" t="str">
        <f>TRIM(下注输入!GY3)</f>
        <v/>
      </c>
      <c r="HC3" s="22" t="str">
        <f>TRIM(下注输入!GZ3)</f>
        <v/>
      </c>
      <c r="HD3" s="22" t="str">
        <f>TRIM(下注输入!HA3)</f>
        <v/>
      </c>
      <c r="HE3" s="22" t="str">
        <f>TRIM(下注输入!HB3)</f>
        <v/>
      </c>
      <c r="HF3" s="22" t="str">
        <f>TRIM(下注输入!HC3)</f>
        <v/>
      </c>
      <c r="HG3" s="22" t="str">
        <f>TRIM(下注输入!HD3)</f>
        <v/>
      </c>
      <c r="HH3" s="22" t="str">
        <f>TRIM(下注输入!HE3)</f>
        <v/>
      </c>
      <c r="HI3" s="22" t="str">
        <f>TRIM(下注输入!HF3)</f>
        <v/>
      </c>
      <c r="HJ3" s="22" t="str">
        <f>TRIM(下注输入!HG3)</f>
        <v/>
      </c>
      <c r="HK3" s="22" t="str">
        <f>TRIM(下注输入!HH3)</f>
        <v/>
      </c>
      <c r="HL3" s="22" t="str">
        <f>TRIM(下注输入!HI3)</f>
        <v/>
      </c>
      <c r="HM3" s="22" t="str">
        <f>TRIM(下注输入!HJ3)</f>
        <v/>
      </c>
      <c r="HN3" s="22" t="str">
        <f>TRIM(下注输入!HK3)</f>
        <v/>
      </c>
      <c r="HO3" s="22" t="str">
        <f>TRIM(下注输入!HL3)</f>
        <v/>
      </c>
      <c r="HP3" s="22" t="str">
        <f>TRIM(下注输入!HM3)</f>
        <v/>
      </c>
      <c r="HQ3" s="22" t="str">
        <f>TRIM(下注输入!HN3)</f>
        <v/>
      </c>
      <c r="HR3" s="22" t="str">
        <f>TRIM(下注输入!HO3)</f>
        <v/>
      </c>
      <c r="HS3" s="22" t="str">
        <f>TRIM(下注输入!HP3)</f>
        <v/>
      </c>
      <c r="HT3" s="22" t="str">
        <f>TRIM(下注输入!HQ3)</f>
        <v/>
      </c>
      <c r="HU3" s="22" t="str">
        <f>TRIM(下注输入!HR3)</f>
        <v/>
      </c>
      <c r="HV3" s="22" t="str">
        <f>TRIM(下注输入!HS3)</f>
        <v/>
      </c>
      <c r="HW3" s="22" t="str">
        <f>TRIM(下注输入!HT3)</f>
        <v/>
      </c>
      <c r="HX3" s="22" t="str">
        <f>TRIM(下注输入!HU3)</f>
        <v/>
      </c>
      <c r="HY3" s="22" t="str">
        <f>TRIM(下注输入!HV3)</f>
        <v/>
      </c>
      <c r="HZ3" s="22" t="str">
        <f>TRIM(下注输入!HW3)</f>
        <v/>
      </c>
      <c r="IA3" s="22" t="str">
        <f>TRIM(下注输入!HX3)</f>
        <v/>
      </c>
      <c r="IB3" s="22" t="str">
        <f>TRIM(下注输入!HY3)</f>
        <v/>
      </c>
      <c r="IC3" s="22" t="str">
        <f>TRIM(下注输入!HZ3)</f>
        <v/>
      </c>
      <c r="ID3" s="22" t="str">
        <f>TRIM(下注输入!IA3)</f>
        <v/>
      </c>
      <c r="IE3" s="22" t="str">
        <f>TRIM(下注输入!IB3)</f>
        <v/>
      </c>
      <c r="IF3" s="22" t="str">
        <f>TRIM(下注输入!IC3)</f>
        <v/>
      </c>
      <c r="IG3" s="22" t="str">
        <f>TRIM(下注输入!ID3)</f>
        <v/>
      </c>
      <c r="IH3" s="22" t="str">
        <f>TRIM(下注输入!IE3)</f>
        <v/>
      </c>
      <c r="II3" s="22" t="str">
        <f>TRIM(下注输入!IF3)</f>
        <v/>
      </c>
      <c r="IJ3" s="22" t="str">
        <f>TRIM(下注输入!IG3)</f>
        <v/>
      </c>
      <c r="IK3" s="22" t="str">
        <f>TRIM(下注输入!IH3)</f>
        <v/>
      </c>
      <c r="IL3" s="22" t="str">
        <f>TRIM(下注输入!II3)</f>
        <v/>
      </c>
      <c r="IM3" s="22" t="str">
        <f>TRIM(下注输入!IJ3)</f>
        <v/>
      </c>
      <c r="IN3" s="22" t="str">
        <f>TRIM(下注输入!IK3)</f>
        <v/>
      </c>
      <c r="IO3" s="22" t="str">
        <f>TRIM(下注输入!IL3)</f>
        <v/>
      </c>
      <c r="IP3" s="22" t="str">
        <f>TRIM(下注输入!IM3)</f>
        <v/>
      </c>
      <c r="IQ3" s="22" t="str">
        <f>TRIM(下注输入!IN3)</f>
        <v/>
      </c>
      <c r="IR3" s="22" t="str">
        <f>TRIM(下注输入!IO3)</f>
        <v/>
      </c>
      <c r="IS3" s="22" t="str">
        <f>TRIM(下注输入!IP3)</f>
        <v/>
      </c>
      <c r="IT3" s="22" t="str">
        <f>TRIM(下注输入!IQ3)</f>
        <v/>
      </c>
      <c r="IU3" s="22" t="str">
        <f>TRIM(下注输入!IR3)</f>
        <v/>
      </c>
      <c r="IV3" s="22" t="str">
        <f>TRIM(下注输入!IS3)</f>
        <v/>
      </c>
      <c r="IW3" s="22" t="str">
        <f>TRIM(下注输入!IT3)</f>
        <v/>
      </c>
      <c r="IX3" s="22" t="str">
        <f>TRIM(下注输入!IU3)</f>
        <v/>
      </c>
      <c r="IY3" s="22" t="str">
        <f>TRIM(下注输入!IV3)</f>
        <v/>
      </c>
      <c r="IZ3" s="22" t="str">
        <f>TRIM(下注输入!IW3)</f>
        <v/>
      </c>
      <c r="JA3" s="22" t="str">
        <f>TRIM(下注输入!IX3)</f>
        <v/>
      </c>
      <c r="JB3" s="22" t="str">
        <f>TRIM(下注输入!IY3)</f>
        <v/>
      </c>
      <c r="JC3" s="22" t="str">
        <f>TRIM(下注输入!IZ3)</f>
        <v/>
      </c>
      <c r="JD3" s="22" t="str">
        <f>TRIM(下注输入!JA3)</f>
        <v/>
      </c>
      <c r="JE3" s="22" t="str">
        <f>TRIM(下注输入!JB3)</f>
        <v/>
      </c>
      <c r="JF3" s="22" t="str">
        <f>TRIM(下注输入!JC3)</f>
        <v/>
      </c>
      <c r="JG3" s="22" t="str">
        <f>TRIM(下注输入!JD3)</f>
        <v/>
      </c>
      <c r="JH3" s="22" t="str">
        <f>TRIM(下注输入!JE3)</f>
        <v/>
      </c>
      <c r="JI3" s="22" t="str">
        <f>TRIM(下注输入!JF3)</f>
        <v/>
      </c>
      <c r="JJ3" s="22" t="str">
        <f>TRIM(下注输入!JG3)</f>
        <v/>
      </c>
      <c r="JK3" s="22" t="str">
        <f>TRIM(下注输入!JH3)</f>
        <v/>
      </c>
      <c r="JL3" s="22" t="str">
        <f>TRIM(下注输入!JI3)</f>
        <v/>
      </c>
      <c r="JM3" s="22" t="str">
        <f>TRIM(下注输入!JJ3)</f>
        <v/>
      </c>
      <c r="JN3" s="22" t="str">
        <f>TRIM(下注输入!JK3)</f>
        <v/>
      </c>
      <c r="JO3" s="22" t="str">
        <f>TRIM(下注输入!JL3)</f>
        <v/>
      </c>
      <c r="JP3" s="22" t="str">
        <f>TRIM(下注输入!JM3)</f>
        <v/>
      </c>
      <c r="JQ3" s="22" t="str">
        <f>TRIM(下注输入!JN3)</f>
        <v/>
      </c>
      <c r="JR3" s="22" t="str">
        <f>TRIM(下注输入!JO3)</f>
        <v/>
      </c>
      <c r="JS3" s="22" t="str">
        <f>TRIM(下注输入!JP3)</f>
        <v/>
      </c>
      <c r="JT3" s="22" t="str">
        <f>TRIM(下注输入!JQ3)</f>
        <v/>
      </c>
      <c r="JU3" s="22" t="str">
        <f>TRIM(下注输入!JR3)</f>
        <v/>
      </c>
      <c r="JV3" s="22" t="str">
        <f>TRIM(下注输入!JS3)</f>
        <v/>
      </c>
      <c r="JW3" s="22" t="str">
        <f>TRIM(下注输入!JT3)</f>
        <v/>
      </c>
      <c r="JX3" s="22" t="str">
        <f>TRIM(下注输入!JU3)</f>
        <v/>
      </c>
      <c r="JY3" s="22" t="str">
        <f>TRIM(下注输入!JV3)</f>
        <v/>
      </c>
      <c r="JZ3" s="22" t="str">
        <f>TRIM(下注输入!JW3)</f>
        <v/>
      </c>
      <c r="KA3" s="22" t="str">
        <f>TRIM(下注输入!JX3)</f>
        <v/>
      </c>
      <c r="KB3" s="22" t="str">
        <f>TRIM(下注输入!JY3)</f>
        <v/>
      </c>
      <c r="KC3" s="22" t="str">
        <f>TRIM(下注输入!JZ3)</f>
        <v/>
      </c>
      <c r="KD3" s="22" t="str">
        <f>TRIM(下注输入!KA3)</f>
        <v/>
      </c>
      <c r="KE3" s="22" t="str">
        <f>TRIM(下注输入!KB3)</f>
        <v/>
      </c>
      <c r="KF3" s="22" t="str">
        <f>TRIM(下注输入!KC3)</f>
        <v/>
      </c>
      <c r="KG3" s="22" t="str">
        <f>TRIM(下注输入!KD3)</f>
        <v/>
      </c>
      <c r="KH3" s="22" t="str">
        <f>TRIM(下注输入!KE3)</f>
        <v/>
      </c>
      <c r="KI3" s="22" t="str">
        <f>TRIM(下注输入!KF3)</f>
        <v/>
      </c>
      <c r="KJ3" s="22" t="str">
        <f>TRIM(下注输入!KG3)</f>
        <v/>
      </c>
      <c r="KK3" s="22" t="str">
        <f>TRIM(下注输入!KH3)</f>
        <v/>
      </c>
      <c r="KL3" s="22" t="str">
        <f>TRIM(下注输入!KI3)</f>
        <v/>
      </c>
      <c r="KM3" s="22" t="str">
        <f>TRIM(下注输入!KJ3)</f>
        <v/>
      </c>
      <c r="KN3" s="22" t="str">
        <f>TRIM(下注输入!KK3)</f>
        <v/>
      </c>
      <c r="KO3" s="22" t="str">
        <f>TRIM(下注输入!KL3)</f>
        <v/>
      </c>
      <c r="KP3" s="22" t="str">
        <f>TRIM(下注输入!KM3)</f>
        <v/>
      </c>
      <c r="KQ3" s="22" t="str">
        <f>TRIM(下注输入!KN3)</f>
        <v/>
      </c>
      <c r="KR3" s="22" t="str">
        <f>TRIM(下注输入!KO3)</f>
        <v/>
      </c>
      <c r="KS3" s="22" t="str">
        <f>TRIM(下注输入!KP3)</f>
        <v/>
      </c>
      <c r="KT3" s="22" t="str">
        <f>TRIM(下注输入!KQ3)</f>
        <v/>
      </c>
      <c r="KU3" s="22" t="str">
        <f>TRIM(下注输入!KR3)</f>
        <v/>
      </c>
      <c r="KV3" s="22" t="str">
        <f>TRIM(下注输入!KS3)</f>
        <v/>
      </c>
      <c r="KW3" s="22" t="str">
        <f>TRIM(下注输入!KT3)</f>
        <v/>
      </c>
      <c r="KX3" s="22" t="str">
        <f>TRIM(下注输入!KU3)</f>
        <v/>
      </c>
      <c r="KY3" s="22" t="str">
        <f>TRIM(下注输入!KV3)</f>
        <v/>
      </c>
      <c r="KZ3" s="22" t="str">
        <f>TRIM(下注输入!KW3)</f>
        <v/>
      </c>
      <c r="LA3" s="22" t="str">
        <f>TRIM(下注输入!KX3)</f>
        <v/>
      </c>
      <c r="LB3" s="22" t="str">
        <f>TRIM(下注输入!KY3)</f>
        <v/>
      </c>
      <c r="LC3" s="22" t="str">
        <f>TRIM(下注输入!KZ3)</f>
        <v/>
      </c>
      <c r="LD3" s="22" t="str">
        <f>TRIM(下注输入!LA3)</f>
        <v/>
      </c>
      <c r="LE3" s="22" t="str">
        <f>TRIM(下注输入!LB3)</f>
        <v/>
      </c>
      <c r="LF3" s="22" t="str">
        <f>TRIM(下注输入!LC3)</f>
        <v/>
      </c>
      <c r="LG3" s="22" t="str">
        <f>TRIM(下注输入!LD3)</f>
        <v/>
      </c>
      <c r="LH3" s="22" t="str">
        <f>TRIM(下注输入!LE3)</f>
        <v/>
      </c>
      <c r="LI3" s="22" t="str">
        <f>TRIM(下注输入!LF3)</f>
        <v/>
      </c>
      <c r="LJ3" s="22" t="str">
        <f>TRIM(下注输入!LG3)</f>
        <v/>
      </c>
      <c r="LK3" s="22" t="str">
        <f>TRIM(下注输入!LH3)</f>
        <v/>
      </c>
      <c r="LL3" s="22" t="str">
        <f>TRIM(下注输入!LI3)</f>
        <v/>
      </c>
      <c r="LM3" s="22" t="str">
        <f>TRIM(下注输入!LJ3)</f>
        <v/>
      </c>
      <c r="LN3" s="22" t="str">
        <f>TRIM(下注输入!LK3)</f>
        <v/>
      </c>
      <c r="LO3" s="22" t="str">
        <f>TRIM(下注输入!LL3)</f>
        <v/>
      </c>
      <c r="LP3" s="22" t="str">
        <f>TRIM(下注输入!LM3)</f>
        <v/>
      </c>
      <c r="LQ3" s="22" t="str">
        <f>TRIM(下注输入!LN3)</f>
        <v/>
      </c>
      <c r="LR3" s="22" t="str">
        <f>TRIM(下注输入!LO3)</f>
        <v/>
      </c>
      <c r="LS3" s="22" t="str">
        <f>TRIM(下注输入!LP3)</f>
        <v/>
      </c>
      <c r="LT3" s="22" t="str">
        <f>TRIM(下注输入!LQ3)</f>
        <v/>
      </c>
      <c r="LU3" s="22" t="str">
        <f>TRIM(下注输入!LR3)</f>
        <v/>
      </c>
      <c r="LV3" s="22" t="str">
        <f>TRIM(下注输入!LS3)</f>
        <v/>
      </c>
      <c r="LW3" s="22" t="str">
        <f>TRIM(下注输入!LT3)</f>
        <v/>
      </c>
      <c r="LX3" s="22" t="str">
        <f>TRIM(下注输入!LU3)</f>
        <v/>
      </c>
      <c r="LY3" s="22" t="str">
        <f>TRIM(下注输入!LV3)</f>
        <v/>
      </c>
      <c r="LZ3" s="22" t="str">
        <f>TRIM(下注输入!LW3)</f>
        <v/>
      </c>
      <c r="MA3" s="22" t="str">
        <f>TRIM(下注输入!LX3)</f>
        <v/>
      </c>
      <c r="MB3" s="22" t="str">
        <f>TRIM(下注输入!LY3)</f>
        <v/>
      </c>
      <c r="MC3" s="22" t="str">
        <f>TRIM(下注输入!LZ3)</f>
        <v/>
      </c>
      <c r="MD3" s="22" t="str">
        <f>TRIM(下注输入!MA3)</f>
        <v/>
      </c>
      <c r="ME3" s="22" t="str">
        <f>TRIM(下注输入!MB3)</f>
        <v/>
      </c>
      <c r="MF3" s="22" t="str">
        <f>TRIM(下注输入!MC3)</f>
        <v/>
      </c>
      <c r="MG3" s="22" t="str">
        <f>TRIM(下注输入!MD3)</f>
        <v/>
      </c>
      <c r="MH3" s="22" t="str">
        <f>TRIM(下注输入!ME3)</f>
        <v/>
      </c>
      <c r="MI3" s="22" t="str">
        <f>TRIM(下注输入!MF3)</f>
        <v/>
      </c>
      <c r="MJ3" s="22" t="str">
        <f>TRIM(下注输入!MG3)</f>
        <v/>
      </c>
      <c r="MK3" s="22" t="str">
        <f>TRIM(下注输入!MH3)</f>
        <v/>
      </c>
      <c r="ML3" s="22" t="str">
        <f>TRIM(下注输入!MI3)</f>
        <v/>
      </c>
      <c r="MM3" s="22" t="str">
        <f>TRIM(下注输入!MJ3)</f>
        <v/>
      </c>
      <c r="MN3" s="22" t="str">
        <f>TRIM(下注输入!MK3)</f>
        <v/>
      </c>
      <c r="MO3" s="22" t="str">
        <f>TRIM(下注输入!ML3)</f>
        <v/>
      </c>
      <c r="MP3" s="22" t="str">
        <f>TRIM(下注输入!MM3)</f>
        <v/>
      </c>
      <c r="MQ3" s="22" t="str">
        <f>TRIM(下注输入!MN3)</f>
        <v/>
      </c>
      <c r="MR3" s="22" t="str">
        <f>TRIM(下注输入!MO3)</f>
        <v/>
      </c>
      <c r="MS3" s="22" t="str">
        <f>TRIM(下注输入!MP3)</f>
        <v/>
      </c>
      <c r="MT3" s="22" t="str">
        <f>TRIM(下注输入!MQ3)</f>
        <v/>
      </c>
      <c r="MU3" s="22" t="str">
        <f>TRIM(下注输入!MR3)</f>
        <v/>
      </c>
      <c r="MV3" s="22" t="str">
        <f>TRIM(下注输入!MS3)</f>
        <v/>
      </c>
      <c r="MW3" s="22" t="str">
        <f>TRIM(下注输入!MT3)</f>
        <v/>
      </c>
      <c r="MX3" s="22" t="str">
        <f>TRIM(下注输入!MU3)</f>
        <v/>
      </c>
      <c r="MY3" s="22" t="str">
        <f>TRIM(下注输入!MV3)</f>
        <v/>
      </c>
      <c r="MZ3" s="22" t="str">
        <f>TRIM(下注输入!MW3)</f>
        <v/>
      </c>
      <c r="NA3" s="22" t="str">
        <f>TRIM(下注输入!MX3)</f>
        <v/>
      </c>
      <c r="NB3" s="22" t="str">
        <f>TRIM(下注输入!MY3)</f>
        <v/>
      </c>
      <c r="NC3" s="22" t="str">
        <f>TRIM(下注输入!MZ3)</f>
        <v/>
      </c>
      <c r="ND3" s="22" t="str">
        <f>TRIM(下注输入!NA3)</f>
        <v/>
      </c>
      <c r="NE3" s="22" t="str">
        <f>TRIM(下注输入!NB3)</f>
        <v/>
      </c>
      <c r="NF3" s="22" t="str">
        <f>TRIM(下注输入!NC3)</f>
        <v/>
      </c>
      <c r="NG3" s="22" t="str">
        <f>TRIM(下注输入!ND3)</f>
        <v/>
      </c>
      <c r="NH3" s="22" t="str">
        <f>TRIM(下注输入!NE3)</f>
        <v/>
      </c>
      <c r="NI3" s="22" t="str">
        <f>TRIM(下注输入!NF3)</f>
        <v/>
      </c>
      <c r="NJ3" s="22" t="str">
        <f>TRIM(下注输入!NG3)</f>
        <v/>
      </c>
      <c r="NK3" s="22" t="str">
        <f>TRIM(下注输入!NH3)</f>
        <v/>
      </c>
      <c r="NL3" s="22" t="str">
        <f>TRIM(下注输入!NI3)</f>
        <v/>
      </c>
      <c r="NM3" s="22" t="str">
        <f>TRIM(下注输入!NJ3)</f>
        <v/>
      </c>
      <c r="NN3" s="22" t="str">
        <f>TRIM(下注输入!NK3)</f>
        <v/>
      </c>
      <c r="NO3" s="22" t="str">
        <f>TRIM(下注输入!NL3)</f>
        <v/>
      </c>
      <c r="NP3" s="22" t="str">
        <f>TRIM(下注输入!NM3)</f>
        <v/>
      </c>
      <c r="NQ3" s="22" t="str">
        <f>TRIM(下注输入!NN3)</f>
        <v/>
      </c>
      <c r="NR3" s="22" t="str">
        <f>TRIM(下注输入!NO3)</f>
        <v/>
      </c>
      <c r="NS3" s="22" t="str">
        <f>TRIM(下注输入!NP3)</f>
        <v/>
      </c>
      <c r="NT3" s="22" t="str">
        <f>TRIM(下注输入!NQ3)</f>
        <v/>
      </c>
      <c r="NU3" s="22" t="str">
        <f>TRIM(下注输入!NR3)</f>
        <v/>
      </c>
      <c r="NV3" s="22" t="str">
        <f>TRIM(下注输入!NS3)</f>
        <v/>
      </c>
      <c r="NW3" s="22" t="str">
        <f>TRIM(下注输入!NT3)</f>
        <v/>
      </c>
      <c r="NX3" s="22" t="str">
        <f>TRIM(下注输入!NU3)</f>
        <v/>
      </c>
      <c r="NY3" s="22" t="str">
        <f>TRIM(下注输入!NV3)</f>
        <v/>
      </c>
      <c r="NZ3" s="22" t="str">
        <f>TRIM(下注输入!NW3)</f>
        <v/>
      </c>
      <c r="OA3" s="22" t="str">
        <f>TRIM(下注输入!NX3)</f>
        <v/>
      </c>
      <c r="OB3" s="22" t="str">
        <f>TRIM(下注输入!NY3)</f>
        <v/>
      </c>
      <c r="OC3" s="22" t="str">
        <f>TRIM(下注输入!NZ3)</f>
        <v/>
      </c>
      <c r="OD3" s="22" t="str">
        <f>TRIM(下注输入!OA3)</f>
        <v/>
      </c>
      <c r="OE3" s="22" t="str">
        <f>TRIM(下注输入!OB3)</f>
        <v/>
      </c>
      <c r="OF3" s="22" t="str">
        <f>TRIM(下注输入!OC3)</f>
        <v/>
      </c>
      <c r="OG3" s="22" t="str">
        <f>TRIM(下注输入!OD3)</f>
        <v/>
      </c>
      <c r="OH3" s="22" t="str">
        <f>TRIM(下注输入!OE3)</f>
        <v/>
      </c>
      <c r="OI3" s="22" t="str">
        <f>TRIM(下注输入!OF3)</f>
        <v/>
      </c>
      <c r="OJ3" s="22" t="str">
        <f>TRIM(下注输入!OG3)</f>
        <v/>
      </c>
      <c r="OK3" s="22" t="str">
        <f>TRIM(下注输入!OH3)</f>
        <v/>
      </c>
      <c r="OL3" s="22" t="str">
        <f>TRIM(下注输入!OI3)</f>
        <v/>
      </c>
      <c r="OM3" s="22" t="str">
        <f>TRIM(下注输入!OJ3)</f>
        <v/>
      </c>
      <c r="ON3" s="22" t="str">
        <f>TRIM(下注输入!OK3)</f>
        <v/>
      </c>
      <c r="OO3" s="22" t="str">
        <f>TRIM(下注输入!OL3)</f>
        <v/>
      </c>
      <c r="OP3" s="22" t="str">
        <f>TRIM(下注输入!OM3)</f>
        <v/>
      </c>
      <c r="OQ3" s="22" t="str">
        <f>TRIM(下注输入!ON3)</f>
        <v/>
      </c>
      <c r="OR3" s="22" t="str">
        <f>TRIM(下注输入!OO3)</f>
        <v/>
      </c>
      <c r="OS3" s="22" t="str">
        <f>TRIM(下注输入!OP3)</f>
        <v/>
      </c>
      <c r="OT3" s="22" t="str">
        <f>TRIM(下注输入!OQ3)</f>
        <v/>
      </c>
      <c r="OU3" s="22" t="str">
        <f>TRIM(下注输入!OR3)</f>
        <v/>
      </c>
      <c r="OV3" s="22" t="str">
        <f>TRIM(下注输入!OS3)</f>
        <v/>
      </c>
      <c r="OW3" s="22" t="str">
        <f>TRIM(下注输入!OT3)</f>
        <v/>
      </c>
      <c r="OX3" s="22" t="str">
        <f>TRIM(下注输入!OU3)</f>
        <v/>
      </c>
      <c r="OY3" s="22" t="str">
        <f>TRIM(下注输入!OV3)</f>
        <v/>
      </c>
      <c r="OZ3" s="22" t="str">
        <f>TRIM(下注输入!OW3)</f>
        <v/>
      </c>
      <c r="PA3" s="22" t="str">
        <f>TRIM(下注输入!OX3)</f>
        <v/>
      </c>
      <c r="PB3" s="22" t="str">
        <f>TRIM(下注输入!OY3)</f>
        <v/>
      </c>
      <c r="PC3" s="22" t="str">
        <f>TRIM(下注输入!OZ3)</f>
        <v/>
      </c>
      <c r="PD3" s="22" t="str">
        <f>TRIM(下注输入!PA3)</f>
        <v/>
      </c>
      <c r="PE3" s="22" t="str">
        <f>TRIM(下注输入!PB3)</f>
        <v/>
      </c>
      <c r="PF3" s="22" t="str">
        <f>TRIM(下注输入!PC3)</f>
        <v/>
      </c>
      <c r="PG3" s="22" t="str">
        <f>TRIM(下注输入!PD3)</f>
        <v/>
      </c>
      <c r="PH3" s="22" t="str">
        <f>TRIM(下注输入!PE3)</f>
        <v/>
      </c>
      <c r="PI3" s="22" t="str">
        <f>TRIM(下注输入!PF3)</f>
        <v/>
      </c>
      <c r="PJ3" s="22" t="str">
        <f>TRIM(下注输入!PG3)</f>
        <v/>
      </c>
      <c r="PK3" s="22" t="str">
        <f>TRIM(下注输入!PH3)</f>
        <v/>
      </c>
      <c r="PL3" s="22" t="str">
        <f>TRIM(下注输入!PI3)</f>
        <v/>
      </c>
      <c r="PM3" s="22" t="str">
        <f>TRIM(下注输入!PJ3)</f>
        <v/>
      </c>
      <c r="PN3" s="22" t="str">
        <f>TRIM(下注输入!PK3)</f>
        <v/>
      </c>
      <c r="PO3" s="22" t="str">
        <f>TRIM(下注输入!PL3)</f>
        <v/>
      </c>
      <c r="PP3" s="22" t="str">
        <f>TRIM(下注输入!PM3)</f>
        <v/>
      </c>
      <c r="PQ3" s="22" t="str">
        <f>TRIM(下注输入!PN3)</f>
        <v/>
      </c>
      <c r="PR3" s="22" t="str">
        <f>TRIM(下注输入!PO3)</f>
        <v/>
      </c>
      <c r="PS3" s="22" t="str">
        <f>TRIM(下注输入!PP3)</f>
        <v/>
      </c>
      <c r="PT3" s="22" t="str">
        <f>TRIM(下注输入!PQ3)</f>
        <v/>
      </c>
      <c r="PU3" s="22" t="str">
        <f>TRIM(下注输入!PR3)</f>
        <v/>
      </c>
      <c r="PV3" s="22" t="str">
        <f>TRIM(下注输入!PS3)</f>
        <v/>
      </c>
      <c r="PW3" s="22" t="str">
        <f>TRIM(下注输入!PT3)</f>
        <v/>
      </c>
      <c r="PX3" s="22" t="str">
        <f>TRIM(下注输入!PU3)</f>
        <v/>
      </c>
      <c r="PY3" s="22" t="str">
        <f>TRIM(下注输入!PV3)</f>
        <v/>
      </c>
      <c r="PZ3" s="22" t="str">
        <f>TRIM(下注输入!PW3)</f>
        <v/>
      </c>
      <c r="QA3" s="22" t="str">
        <f>TRIM(下注输入!PX3)</f>
        <v/>
      </c>
      <c r="QB3" s="22" t="str">
        <f>TRIM(下注输入!PY3)</f>
        <v/>
      </c>
      <c r="QC3" s="22" t="str">
        <f>TRIM(下注输入!PZ3)</f>
        <v/>
      </c>
      <c r="QD3" s="22" t="str">
        <f>TRIM(下注输入!QA3)</f>
        <v/>
      </c>
      <c r="QE3" s="22" t="str">
        <f>TRIM(下注输入!QB3)</f>
        <v/>
      </c>
      <c r="QF3" s="22" t="str">
        <f>TRIM(下注输入!QC3)</f>
        <v/>
      </c>
      <c r="QG3" s="22" t="str">
        <f>TRIM(下注输入!QD3)</f>
        <v/>
      </c>
    </row>
    <row r="4" spans="1:449" x14ac:dyDescent="0.25">
      <c r="B4" s="27">
        <v>1</v>
      </c>
      <c r="C4" s="27">
        <v>123</v>
      </c>
      <c r="D4" s="34">
        <v>0.80902777777777779</v>
      </c>
      <c r="E4" s="25">
        <v>0</v>
      </c>
      <c r="F4" s="25">
        <v>0</v>
      </c>
      <c r="G4" s="25">
        <v>0</v>
      </c>
      <c r="H4" s="25">
        <v>0</v>
      </c>
      <c r="I4" s="25">
        <v>0</v>
      </c>
      <c r="J4" s="25">
        <v>0</v>
      </c>
      <c r="K4" s="25">
        <v>0</v>
      </c>
      <c r="L4" s="25">
        <v>0</v>
      </c>
      <c r="M4" s="25">
        <v>0</v>
      </c>
      <c r="N4" s="25">
        <v>0</v>
      </c>
      <c r="O4" s="25">
        <v>0</v>
      </c>
      <c r="P4" s="25">
        <v>0</v>
      </c>
      <c r="Q4" s="25">
        <v>0</v>
      </c>
      <c r="R4" s="25">
        <v>0</v>
      </c>
      <c r="S4" s="25">
        <v>0</v>
      </c>
    </row>
    <row r="5" spans="1:449" x14ac:dyDescent="0.25">
      <c r="B5" s="27">
        <v>2</v>
      </c>
      <c r="C5" s="27">
        <v>111</v>
      </c>
      <c r="D5" s="34">
        <v>0.80972222222222223</v>
      </c>
      <c r="E5" s="25">
        <v>6.9000000953674316</v>
      </c>
      <c r="F5" s="25">
        <v>0</v>
      </c>
      <c r="G5" s="25">
        <v>0</v>
      </c>
      <c r="H5" s="25">
        <v>0</v>
      </c>
      <c r="I5" s="25">
        <v>0</v>
      </c>
      <c r="J5" s="25">
        <v>0</v>
      </c>
      <c r="K5" s="25">
        <v>0</v>
      </c>
      <c r="L5" s="25">
        <v>0</v>
      </c>
      <c r="M5" s="25">
        <v>0</v>
      </c>
      <c r="N5" s="25">
        <v>0</v>
      </c>
      <c r="O5" s="25">
        <v>0</v>
      </c>
      <c r="P5" s="25">
        <v>0</v>
      </c>
      <c r="Q5" s="25">
        <v>0</v>
      </c>
      <c r="R5" s="25">
        <v>0</v>
      </c>
      <c r="S5" s="25">
        <v>0</v>
      </c>
    </row>
    <row r="6" spans="1:449" x14ac:dyDescent="0.25">
      <c r="B6" s="27">
        <v>3</v>
      </c>
      <c r="C6" s="27">
        <v>456</v>
      </c>
      <c r="D6" s="34">
        <v>0.91805555555555562</v>
      </c>
      <c r="E6" s="25">
        <v>0.89999997615814209</v>
      </c>
      <c r="F6" s="25">
        <v>0</v>
      </c>
      <c r="G6" s="25">
        <v>0</v>
      </c>
      <c r="H6" s="25">
        <v>0</v>
      </c>
      <c r="I6" s="25">
        <v>0</v>
      </c>
      <c r="J6" s="25">
        <v>0</v>
      </c>
      <c r="K6" s="25">
        <v>0</v>
      </c>
      <c r="L6" s="25">
        <v>0</v>
      </c>
      <c r="M6" s="25">
        <v>0</v>
      </c>
      <c r="N6" s="25">
        <v>0</v>
      </c>
      <c r="O6" s="25">
        <v>0</v>
      </c>
      <c r="P6" s="25">
        <v>0</v>
      </c>
      <c r="Q6" s="25">
        <v>0</v>
      </c>
      <c r="R6" s="25">
        <v>0</v>
      </c>
      <c r="S6" s="25">
        <v>0</v>
      </c>
    </row>
    <row r="7" spans="1:449" x14ac:dyDescent="0.25">
      <c r="B7" s="27">
        <v>4</v>
      </c>
      <c r="C7" s="27">
        <v>456</v>
      </c>
      <c r="D7" s="34">
        <v>0.9194444444444444</v>
      </c>
      <c r="E7" s="25">
        <v>0.89999997615814209</v>
      </c>
      <c r="F7" s="25">
        <v>-1</v>
      </c>
      <c r="G7" s="25">
        <v>0.89999997615814209</v>
      </c>
      <c r="H7" s="25">
        <v>-1</v>
      </c>
      <c r="I7" s="25">
        <v>0</v>
      </c>
      <c r="J7" s="25">
        <v>0</v>
      </c>
      <c r="K7" s="25">
        <v>0</v>
      </c>
      <c r="L7" s="25">
        <v>0</v>
      </c>
      <c r="M7" s="25">
        <v>0</v>
      </c>
      <c r="N7" s="25">
        <v>0</v>
      </c>
      <c r="O7" s="25">
        <v>0</v>
      </c>
      <c r="P7" s="25">
        <v>0</v>
      </c>
      <c r="Q7" s="25">
        <v>0</v>
      </c>
      <c r="R7" s="25">
        <v>0</v>
      </c>
      <c r="S7" s="25">
        <v>0</v>
      </c>
      <c r="T7" s="25">
        <v>0</v>
      </c>
      <c r="U7" s="25">
        <v>0</v>
      </c>
      <c r="V7" s="25">
        <v>0</v>
      </c>
      <c r="W7" s="25">
        <v>0</v>
      </c>
      <c r="X7" s="25">
        <v>0</v>
      </c>
      <c r="Y7" s="25">
        <v>0</v>
      </c>
      <c r="Z7" s="25">
        <v>0</v>
      </c>
      <c r="AA7" s="25">
        <v>0</v>
      </c>
      <c r="AB7" s="25">
        <v>0</v>
      </c>
      <c r="AC7" s="25">
        <v>0</v>
      </c>
      <c r="AD7" s="25">
        <v>0</v>
      </c>
      <c r="AE7" s="25">
        <v>0</v>
      </c>
      <c r="AF7" s="25">
        <v>0</v>
      </c>
      <c r="AG7" s="25">
        <v>0</v>
      </c>
      <c r="AH7" s="25">
        <v>0</v>
      </c>
      <c r="AI7" s="25">
        <v>0</v>
      </c>
      <c r="AJ7" s="25">
        <v>0</v>
      </c>
      <c r="AK7" s="25">
        <v>0</v>
      </c>
      <c r="AL7" s="25">
        <v>0</v>
      </c>
      <c r="AM7" s="25">
        <v>0</v>
      </c>
      <c r="AN7" s="25">
        <v>0</v>
      </c>
      <c r="AO7" s="25">
        <v>0</v>
      </c>
      <c r="AP7" s="25">
        <v>0</v>
      </c>
      <c r="AQ7" s="25">
        <v>0</v>
      </c>
      <c r="AR7" s="25">
        <v>0</v>
      </c>
      <c r="AS7" s="25">
        <v>0</v>
      </c>
      <c r="AT7" s="25">
        <v>0</v>
      </c>
      <c r="AU7" s="25">
        <v>0</v>
      </c>
      <c r="AV7" s="25">
        <v>0</v>
      </c>
      <c r="AW7" s="25">
        <v>0</v>
      </c>
      <c r="AX7" s="25">
        <v>0</v>
      </c>
      <c r="AY7" s="25">
        <v>0</v>
      </c>
      <c r="AZ7" s="25">
        <v>0</v>
      </c>
      <c r="BA7" s="25">
        <v>0</v>
      </c>
      <c r="BB7" s="25">
        <v>0</v>
      </c>
    </row>
    <row r="8" spans="1:449" x14ac:dyDescent="0.25">
      <c r="B8" s="27">
        <v>5</v>
      </c>
      <c r="C8" s="27">
        <v>123</v>
      </c>
      <c r="D8" s="34">
        <v>0.9194444444444444</v>
      </c>
      <c r="E8" s="25">
        <v>-1</v>
      </c>
      <c r="F8" s="25">
        <v>0.89999997615814209</v>
      </c>
      <c r="G8" s="25">
        <v>-1</v>
      </c>
      <c r="H8" s="25">
        <v>0.89999997615814209</v>
      </c>
      <c r="I8" s="25">
        <v>0</v>
      </c>
      <c r="J8" s="25">
        <v>0</v>
      </c>
      <c r="K8" s="25">
        <v>0</v>
      </c>
      <c r="L8" s="25">
        <v>0</v>
      </c>
      <c r="M8" s="25">
        <v>0</v>
      </c>
      <c r="N8" s="25">
        <v>0</v>
      </c>
      <c r="O8" s="25">
        <v>0</v>
      </c>
      <c r="P8" s="25">
        <v>0</v>
      </c>
      <c r="Q8" s="25">
        <v>0</v>
      </c>
      <c r="R8" s="25">
        <v>0</v>
      </c>
      <c r="S8" s="25">
        <v>0</v>
      </c>
      <c r="T8" s="25">
        <v>0</v>
      </c>
      <c r="U8" s="25">
        <v>0</v>
      </c>
      <c r="V8" s="25">
        <v>0</v>
      </c>
      <c r="W8" s="25">
        <v>0</v>
      </c>
      <c r="X8" s="25">
        <v>0</v>
      </c>
      <c r="Y8" s="25">
        <v>0</v>
      </c>
      <c r="Z8" s="25">
        <v>0</v>
      </c>
      <c r="AA8" s="25">
        <v>0</v>
      </c>
      <c r="AB8" s="25">
        <v>0</v>
      </c>
      <c r="AC8" s="25">
        <v>0</v>
      </c>
      <c r="AD8" s="25">
        <v>0</v>
      </c>
      <c r="AE8" s="25">
        <v>0</v>
      </c>
      <c r="AF8" s="25">
        <v>0</v>
      </c>
      <c r="AG8" s="25">
        <v>0</v>
      </c>
      <c r="AH8" s="25">
        <v>0</v>
      </c>
      <c r="AI8" s="25">
        <v>0</v>
      </c>
      <c r="AJ8" s="25">
        <v>0</v>
      </c>
      <c r="AK8" s="25">
        <v>0</v>
      </c>
      <c r="AL8" s="25">
        <v>0</v>
      </c>
      <c r="AM8" s="25">
        <v>0</v>
      </c>
      <c r="AN8" s="25">
        <v>0</v>
      </c>
      <c r="AO8" s="25">
        <v>0</v>
      </c>
      <c r="AP8" s="25">
        <v>0</v>
      </c>
      <c r="AQ8" s="25">
        <v>0</v>
      </c>
      <c r="AR8" s="25">
        <v>0</v>
      </c>
      <c r="AS8" s="25">
        <v>0</v>
      </c>
      <c r="AT8" s="25">
        <v>0</v>
      </c>
      <c r="AU8" s="25">
        <v>0</v>
      </c>
      <c r="AV8" s="25">
        <v>0</v>
      </c>
      <c r="AW8" s="25">
        <v>0</v>
      </c>
      <c r="AX8" s="25">
        <v>0</v>
      </c>
      <c r="AY8" s="25">
        <v>0</v>
      </c>
      <c r="AZ8" s="25">
        <v>0</v>
      </c>
      <c r="BA8" s="25">
        <v>0</v>
      </c>
      <c r="BB8" s="25">
        <v>0</v>
      </c>
    </row>
    <row r="9" spans="1:449" x14ac:dyDescent="0.25">
      <c r="B9" s="27">
        <v>6</v>
      </c>
      <c r="C9" s="27">
        <v>123</v>
      </c>
      <c r="D9" s="34">
        <v>0.92083333333333339</v>
      </c>
      <c r="E9" s="25">
        <v>-1</v>
      </c>
      <c r="F9" s="25">
        <v>0.89999997615814209</v>
      </c>
      <c r="G9" s="25">
        <v>-1</v>
      </c>
      <c r="H9" s="25">
        <v>0.89999997615814209</v>
      </c>
      <c r="I9" s="25">
        <v>0</v>
      </c>
      <c r="J9" s="25">
        <v>0</v>
      </c>
      <c r="K9" s="25">
        <v>0</v>
      </c>
      <c r="L9" s="25">
        <v>0</v>
      </c>
      <c r="M9" s="25">
        <v>0</v>
      </c>
      <c r="N9" s="25">
        <v>0</v>
      </c>
      <c r="O9" s="25">
        <v>0</v>
      </c>
      <c r="P9" s="25">
        <v>0</v>
      </c>
      <c r="Q9" s="25">
        <v>0</v>
      </c>
      <c r="R9" s="25">
        <v>0</v>
      </c>
      <c r="S9" s="25">
        <v>0</v>
      </c>
      <c r="T9" s="25">
        <v>0</v>
      </c>
      <c r="U9" s="25">
        <v>0</v>
      </c>
      <c r="V9" s="25">
        <v>0</v>
      </c>
      <c r="W9" s="25">
        <v>0</v>
      </c>
      <c r="X9" s="25">
        <v>0</v>
      </c>
      <c r="Y9" s="25">
        <v>0</v>
      </c>
      <c r="Z9" s="25">
        <v>0</v>
      </c>
      <c r="AA9" s="25">
        <v>0</v>
      </c>
      <c r="AB9" s="25">
        <v>0</v>
      </c>
      <c r="AC9" s="25">
        <v>0</v>
      </c>
      <c r="AD9" s="25">
        <v>0</v>
      </c>
      <c r="AE9" s="25">
        <v>0</v>
      </c>
      <c r="AF9" s="25">
        <v>0</v>
      </c>
      <c r="AG9" s="25">
        <v>0</v>
      </c>
      <c r="AH9" s="25">
        <v>0</v>
      </c>
      <c r="AI9" s="25">
        <v>0</v>
      </c>
      <c r="AJ9" s="25">
        <v>0</v>
      </c>
      <c r="AK9" s="25">
        <v>0</v>
      </c>
      <c r="AL9" s="25">
        <v>0</v>
      </c>
      <c r="AM9" s="25">
        <v>0</v>
      </c>
      <c r="AN9" s="25">
        <v>0</v>
      </c>
      <c r="AO9" s="25">
        <v>0</v>
      </c>
      <c r="AP9" s="25">
        <v>0</v>
      </c>
      <c r="AQ9" s="25">
        <v>0</v>
      </c>
      <c r="AR9" s="25">
        <v>0</v>
      </c>
      <c r="AS9" s="25">
        <v>0</v>
      </c>
      <c r="AT9" s="25">
        <v>0</v>
      </c>
      <c r="AU9" s="25">
        <v>0</v>
      </c>
      <c r="AV9" s="25">
        <v>0</v>
      </c>
      <c r="AW9" s="25">
        <v>0</v>
      </c>
      <c r="AX9" s="25">
        <v>0</v>
      </c>
      <c r="AY9" s="25">
        <v>0</v>
      </c>
      <c r="AZ9" s="25">
        <v>0</v>
      </c>
      <c r="BA9" s="25">
        <v>0</v>
      </c>
      <c r="BB9" s="25">
        <v>0</v>
      </c>
    </row>
    <row r="10" spans="1:449" x14ac:dyDescent="0.25">
      <c r="B10" s="27">
        <v>7</v>
      </c>
      <c r="C10" s="27">
        <v>123</v>
      </c>
      <c r="D10" s="34">
        <v>0.9277777777777777</v>
      </c>
      <c r="E10" s="25">
        <v>-1</v>
      </c>
      <c r="F10" s="25">
        <v>0.89999997615814209</v>
      </c>
      <c r="G10" s="25">
        <v>-1</v>
      </c>
      <c r="H10" s="25">
        <v>0.89999997615814209</v>
      </c>
      <c r="I10" s="25">
        <v>0</v>
      </c>
      <c r="J10" s="25">
        <v>0</v>
      </c>
      <c r="K10" s="25">
        <v>0</v>
      </c>
      <c r="L10" s="25">
        <v>0</v>
      </c>
      <c r="M10" s="25">
        <v>0</v>
      </c>
      <c r="N10" s="25">
        <v>0</v>
      </c>
      <c r="O10" s="25">
        <v>0</v>
      </c>
      <c r="P10" s="25">
        <v>0</v>
      </c>
      <c r="Q10" s="25">
        <v>0</v>
      </c>
      <c r="R10" s="25">
        <v>0</v>
      </c>
      <c r="S10" s="25">
        <v>0</v>
      </c>
      <c r="T10" s="25">
        <v>0</v>
      </c>
      <c r="U10" s="25">
        <v>0</v>
      </c>
      <c r="V10" s="25">
        <v>0</v>
      </c>
      <c r="W10" s="25">
        <v>0</v>
      </c>
      <c r="X10" s="25">
        <v>0</v>
      </c>
      <c r="Y10" s="25">
        <v>0</v>
      </c>
      <c r="Z10" s="25">
        <v>0</v>
      </c>
      <c r="AA10" s="25">
        <v>0</v>
      </c>
      <c r="AB10" s="25">
        <v>0</v>
      </c>
      <c r="AC10" s="25">
        <v>0</v>
      </c>
      <c r="AD10" s="25">
        <v>0</v>
      </c>
      <c r="AE10" s="25">
        <v>0</v>
      </c>
      <c r="AF10" s="25">
        <v>0</v>
      </c>
      <c r="AG10" s="25">
        <v>0</v>
      </c>
      <c r="AH10" s="25">
        <v>0</v>
      </c>
      <c r="AI10" s="25">
        <v>0</v>
      </c>
      <c r="AJ10" s="25">
        <v>0</v>
      </c>
      <c r="AK10" s="25">
        <v>0</v>
      </c>
      <c r="AL10" s="25">
        <v>0</v>
      </c>
      <c r="AM10" s="25">
        <v>0</v>
      </c>
      <c r="AN10" s="25">
        <v>0</v>
      </c>
      <c r="AO10" s="25">
        <v>0</v>
      </c>
      <c r="AP10" s="25">
        <v>0</v>
      </c>
      <c r="AQ10" s="25">
        <v>0</v>
      </c>
      <c r="AR10" s="25">
        <v>0</v>
      </c>
      <c r="AS10" s="25">
        <v>0</v>
      </c>
      <c r="AT10" s="25">
        <v>0</v>
      </c>
      <c r="AU10" s="25">
        <v>0</v>
      </c>
      <c r="AV10" s="25">
        <v>0</v>
      </c>
      <c r="AW10" s="25">
        <v>0</v>
      </c>
      <c r="AX10" s="25">
        <v>0</v>
      </c>
      <c r="AY10" s="25">
        <v>0</v>
      </c>
      <c r="AZ10" s="25">
        <v>0</v>
      </c>
      <c r="BA10" s="25">
        <v>0</v>
      </c>
      <c r="BB10" s="25">
        <v>0</v>
      </c>
    </row>
    <row r="11" spans="1:449" x14ac:dyDescent="0.25">
      <c r="B11" s="27">
        <v>8</v>
      </c>
      <c r="C11" s="27">
        <v>111</v>
      </c>
      <c r="D11" s="34">
        <v>0.92847222222222225</v>
      </c>
      <c r="E11" s="25">
        <v>-1</v>
      </c>
      <c r="F11" s="25">
        <v>0.89999997615814209</v>
      </c>
      <c r="G11" s="25">
        <v>0.89999997615814209</v>
      </c>
      <c r="H11" s="25">
        <v>-1</v>
      </c>
      <c r="I11" s="25">
        <v>0</v>
      </c>
      <c r="J11" s="25">
        <v>0</v>
      </c>
      <c r="K11" s="25">
        <v>0</v>
      </c>
      <c r="L11" s="25">
        <v>0</v>
      </c>
      <c r="M11" s="25">
        <v>0</v>
      </c>
      <c r="N11" s="25">
        <v>0</v>
      </c>
      <c r="O11" s="25">
        <v>0</v>
      </c>
      <c r="P11" s="25">
        <v>0</v>
      </c>
      <c r="Q11" s="25">
        <v>0</v>
      </c>
      <c r="R11" s="25">
        <v>0</v>
      </c>
      <c r="S11" s="25">
        <v>0</v>
      </c>
      <c r="T11" s="25">
        <v>-11</v>
      </c>
      <c r="U11" s="25">
        <v>10.399999618530273</v>
      </c>
      <c r="V11" s="25">
        <v>0</v>
      </c>
      <c r="W11" s="25">
        <v>10.399999618530273</v>
      </c>
      <c r="X11" s="25">
        <v>77</v>
      </c>
      <c r="Y11" s="25">
        <v>0</v>
      </c>
      <c r="Z11" s="25">
        <v>0</v>
      </c>
      <c r="AA11" s="25">
        <v>0</v>
      </c>
      <c r="AB11" s="25">
        <v>0</v>
      </c>
      <c r="AC11" s="25">
        <v>0</v>
      </c>
      <c r="AD11" s="25">
        <v>0</v>
      </c>
      <c r="AE11" s="25">
        <v>0</v>
      </c>
      <c r="AF11" s="25">
        <v>0</v>
      </c>
      <c r="AG11" s="25">
        <v>0</v>
      </c>
      <c r="AH11" s="25">
        <v>0</v>
      </c>
      <c r="AI11" s="25">
        <v>0</v>
      </c>
      <c r="AJ11" s="25">
        <v>0</v>
      </c>
      <c r="AK11" s="25">
        <v>0</v>
      </c>
      <c r="AL11" s="25">
        <v>0</v>
      </c>
      <c r="AM11" s="25">
        <v>0</v>
      </c>
      <c r="AN11" s="25">
        <v>0</v>
      </c>
      <c r="AO11" s="25">
        <v>0</v>
      </c>
      <c r="AP11" s="25">
        <v>0</v>
      </c>
      <c r="AQ11" s="25">
        <v>0</v>
      </c>
      <c r="AR11" s="25">
        <v>0</v>
      </c>
      <c r="AS11" s="25">
        <v>0</v>
      </c>
      <c r="AT11" s="25">
        <v>0</v>
      </c>
      <c r="AU11" s="25">
        <v>0</v>
      </c>
      <c r="AV11" s="25">
        <v>0</v>
      </c>
      <c r="AW11" s="25">
        <v>0</v>
      </c>
      <c r="AX11" s="25">
        <v>0</v>
      </c>
      <c r="AY11" s="25">
        <v>0</v>
      </c>
      <c r="AZ11" s="25">
        <v>0</v>
      </c>
      <c r="BA11" s="25">
        <v>0</v>
      </c>
      <c r="BB11" s="25">
        <v>0</v>
      </c>
    </row>
    <row r="12" spans="1:449" x14ac:dyDescent="0.25">
      <c r="B12" s="27">
        <v>9</v>
      </c>
      <c r="D12" s="34"/>
    </row>
    <row r="13" spans="1:449" x14ac:dyDescent="0.25">
      <c r="B13" s="27">
        <v>10</v>
      </c>
      <c r="D13" s="34"/>
    </row>
    <row r="14" spans="1:449" x14ac:dyDescent="0.25">
      <c r="B14" s="27">
        <v>11</v>
      </c>
    </row>
    <row r="15" spans="1:449" x14ac:dyDescent="0.25">
      <c r="B15" s="27">
        <v>12</v>
      </c>
    </row>
    <row r="16" spans="1:449" x14ac:dyDescent="0.25">
      <c r="B16" s="27">
        <v>13</v>
      </c>
    </row>
    <row r="17" spans="2:2" x14ac:dyDescent="0.25">
      <c r="B17" s="27">
        <v>14</v>
      </c>
    </row>
    <row r="18" spans="2:2" x14ac:dyDescent="0.25">
      <c r="B18" s="27">
        <v>15</v>
      </c>
    </row>
    <row r="19" spans="2:2" x14ac:dyDescent="0.25">
      <c r="B19" s="27">
        <v>16</v>
      </c>
    </row>
    <row r="20" spans="2:2" x14ac:dyDescent="0.25">
      <c r="B20" s="27">
        <v>17</v>
      </c>
    </row>
    <row r="21" spans="2:2" x14ac:dyDescent="0.25">
      <c r="B21" s="27">
        <v>18</v>
      </c>
    </row>
    <row r="22" spans="2:2" x14ac:dyDescent="0.25">
      <c r="B22" s="27">
        <v>19</v>
      </c>
    </row>
    <row r="23" spans="2:2" x14ac:dyDescent="0.25">
      <c r="B23" s="27">
        <v>20</v>
      </c>
    </row>
    <row r="24" spans="2:2" x14ac:dyDescent="0.25">
      <c r="B24" s="27">
        <v>21</v>
      </c>
    </row>
    <row r="25" spans="2:2" x14ac:dyDescent="0.25">
      <c r="B25" s="27">
        <v>22</v>
      </c>
    </row>
    <row r="26" spans="2:2" x14ac:dyDescent="0.25">
      <c r="B26" s="27">
        <v>23</v>
      </c>
    </row>
    <row r="27" spans="2:2" x14ac:dyDescent="0.25">
      <c r="B27" s="27">
        <v>24</v>
      </c>
    </row>
    <row r="28" spans="2:2" x14ac:dyDescent="0.25">
      <c r="B28" s="27">
        <v>25</v>
      </c>
    </row>
    <row r="29" spans="2:2" x14ac:dyDescent="0.25">
      <c r="B29" s="27">
        <v>26</v>
      </c>
    </row>
    <row r="30" spans="2:2" x14ac:dyDescent="0.25">
      <c r="B30" s="27">
        <v>27</v>
      </c>
    </row>
    <row r="31" spans="2:2" x14ac:dyDescent="0.25">
      <c r="B31" s="27">
        <v>28</v>
      </c>
    </row>
    <row r="32" spans="2:2" x14ac:dyDescent="0.25">
      <c r="B32" s="27">
        <v>29</v>
      </c>
    </row>
    <row r="33" spans="2:2" x14ac:dyDescent="0.25">
      <c r="B33" s="27">
        <v>30</v>
      </c>
    </row>
    <row r="34" spans="2:2" x14ac:dyDescent="0.25">
      <c r="B34" s="27">
        <v>31</v>
      </c>
    </row>
    <row r="35" spans="2:2" x14ac:dyDescent="0.25">
      <c r="B35" s="27">
        <v>32</v>
      </c>
    </row>
    <row r="36" spans="2:2" x14ac:dyDescent="0.25">
      <c r="B36" s="27">
        <v>33</v>
      </c>
    </row>
    <row r="37" spans="2:2" x14ac:dyDescent="0.25">
      <c r="B37" s="27">
        <v>34</v>
      </c>
    </row>
    <row r="38" spans="2:2" x14ac:dyDescent="0.25">
      <c r="B38" s="27">
        <v>35</v>
      </c>
    </row>
    <row r="39" spans="2:2" x14ac:dyDescent="0.25">
      <c r="B39" s="27">
        <v>36</v>
      </c>
    </row>
    <row r="40" spans="2:2" x14ac:dyDescent="0.25">
      <c r="B40" s="27">
        <v>37</v>
      </c>
    </row>
    <row r="41" spans="2:2" x14ac:dyDescent="0.25">
      <c r="B41" s="27">
        <v>38</v>
      </c>
    </row>
    <row r="42" spans="2:2" x14ac:dyDescent="0.25">
      <c r="B42" s="27">
        <v>39</v>
      </c>
    </row>
    <row r="43" spans="2:2" x14ac:dyDescent="0.25">
      <c r="B43" s="27">
        <v>40</v>
      </c>
    </row>
    <row r="44" spans="2:2" x14ac:dyDescent="0.25">
      <c r="B44" s="27">
        <v>41</v>
      </c>
    </row>
    <row r="45" spans="2:2" x14ac:dyDescent="0.25">
      <c r="B45" s="27">
        <v>42</v>
      </c>
    </row>
    <row r="46" spans="2:2" x14ac:dyDescent="0.25">
      <c r="B46" s="27">
        <v>43</v>
      </c>
    </row>
    <row r="47" spans="2:2" x14ac:dyDescent="0.25">
      <c r="B47" s="27">
        <v>44</v>
      </c>
    </row>
    <row r="48" spans="2:2" x14ac:dyDescent="0.25">
      <c r="B48" s="27">
        <v>45</v>
      </c>
    </row>
    <row r="49" spans="2:2" x14ac:dyDescent="0.25">
      <c r="B49" s="27">
        <v>46</v>
      </c>
    </row>
    <row r="50" spans="2:2" x14ac:dyDescent="0.25">
      <c r="B50" s="27">
        <v>47</v>
      </c>
    </row>
    <row r="51" spans="2:2" x14ac:dyDescent="0.25">
      <c r="B51" s="27">
        <v>48</v>
      </c>
    </row>
    <row r="52" spans="2:2" x14ac:dyDescent="0.25">
      <c r="B52" s="27">
        <v>49</v>
      </c>
    </row>
    <row r="53" spans="2:2" x14ac:dyDescent="0.25">
      <c r="B53" s="27">
        <v>50</v>
      </c>
    </row>
    <row r="54" spans="2:2" x14ac:dyDescent="0.25">
      <c r="B54" s="27">
        <v>51</v>
      </c>
    </row>
    <row r="55" spans="2:2" x14ac:dyDescent="0.25">
      <c r="B55" s="27">
        <v>52</v>
      </c>
    </row>
    <row r="56" spans="2:2" x14ac:dyDescent="0.25">
      <c r="B56" s="27">
        <v>53</v>
      </c>
    </row>
    <row r="57" spans="2:2" x14ac:dyDescent="0.25">
      <c r="B57" s="27">
        <v>54</v>
      </c>
    </row>
    <row r="58" spans="2:2" x14ac:dyDescent="0.25">
      <c r="B58" s="27">
        <v>55</v>
      </c>
    </row>
    <row r="59" spans="2:2" x14ac:dyDescent="0.25">
      <c r="B59" s="27">
        <v>56</v>
      </c>
    </row>
    <row r="60" spans="2:2" x14ac:dyDescent="0.25">
      <c r="B60" s="27">
        <v>57</v>
      </c>
    </row>
    <row r="61" spans="2:2" x14ac:dyDescent="0.25">
      <c r="B61" s="27">
        <v>58</v>
      </c>
    </row>
    <row r="62" spans="2:2" x14ac:dyDescent="0.25">
      <c r="B62" s="27">
        <v>59</v>
      </c>
    </row>
    <row r="63" spans="2:2" x14ac:dyDescent="0.25">
      <c r="B63" s="27">
        <v>60</v>
      </c>
    </row>
    <row r="64" spans="2:2" x14ac:dyDescent="0.25">
      <c r="B64" s="27">
        <v>61</v>
      </c>
    </row>
    <row r="65" spans="2:2" x14ac:dyDescent="0.25">
      <c r="B65" s="27">
        <v>62</v>
      </c>
    </row>
    <row r="66" spans="2:2" x14ac:dyDescent="0.25">
      <c r="B66" s="27">
        <v>63</v>
      </c>
    </row>
    <row r="67" spans="2:2" x14ac:dyDescent="0.25">
      <c r="B67" s="27">
        <v>64</v>
      </c>
    </row>
    <row r="68" spans="2:2" x14ac:dyDescent="0.25">
      <c r="B68" s="27">
        <v>65</v>
      </c>
    </row>
    <row r="69" spans="2:2" x14ac:dyDescent="0.25">
      <c r="B69" s="27">
        <v>66</v>
      </c>
    </row>
    <row r="70" spans="2:2" x14ac:dyDescent="0.25">
      <c r="B70" s="27">
        <v>67</v>
      </c>
    </row>
    <row r="71" spans="2:2" x14ac:dyDescent="0.25">
      <c r="B71" s="27">
        <v>68</v>
      </c>
    </row>
    <row r="72" spans="2:2" x14ac:dyDescent="0.25">
      <c r="B72" s="27">
        <v>69</v>
      </c>
    </row>
    <row r="73" spans="2:2" x14ac:dyDescent="0.25">
      <c r="B73" s="27">
        <v>70</v>
      </c>
    </row>
    <row r="74" spans="2:2" x14ac:dyDescent="0.25">
      <c r="B74" s="27">
        <v>71</v>
      </c>
    </row>
    <row r="75" spans="2:2" x14ac:dyDescent="0.25">
      <c r="B75" s="27">
        <v>72</v>
      </c>
    </row>
    <row r="76" spans="2:2" x14ac:dyDescent="0.25">
      <c r="B76" s="27">
        <v>73</v>
      </c>
    </row>
    <row r="77" spans="2:2" x14ac:dyDescent="0.25">
      <c r="B77" s="27">
        <v>74</v>
      </c>
    </row>
    <row r="78" spans="2:2" x14ac:dyDescent="0.25">
      <c r="B78" s="27">
        <v>75</v>
      </c>
    </row>
    <row r="79" spans="2:2" x14ac:dyDescent="0.25">
      <c r="B79" s="27">
        <v>76</v>
      </c>
    </row>
    <row r="80" spans="2:2" x14ac:dyDescent="0.25">
      <c r="B80" s="27">
        <v>77</v>
      </c>
    </row>
    <row r="81" spans="2:2" x14ac:dyDescent="0.25">
      <c r="B81" s="27">
        <v>78</v>
      </c>
    </row>
    <row r="82" spans="2:2" x14ac:dyDescent="0.25">
      <c r="B82" s="27">
        <v>79</v>
      </c>
    </row>
    <row r="83" spans="2:2" x14ac:dyDescent="0.25">
      <c r="B83" s="27">
        <v>80</v>
      </c>
    </row>
    <row r="84" spans="2:2" x14ac:dyDescent="0.25">
      <c r="B84" s="27">
        <v>81</v>
      </c>
    </row>
    <row r="85" spans="2:2" x14ac:dyDescent="0.25">
      <c r="B85" s="27">
        <v>82</v>
      </c>
    </row>
    <row r="86" spans="2:2" x14ac:dyDescent="0.25">
      <c r="B86" s="27">
        <v>83</v>
      </c>
    </row>
    <row r="87" spans="2:2" x14ac:dyDescent="0.25">
      <c r="B87" s="27">
        <v>84</v>
      </c>
    </row>
    <row r="88" spans="2:2" x14ac:dyDescent="0.25">
      <c r="B88" s="27">
        <v>85</v>
      </c>
    </row>
    <row r="89" spans="2:2" x14ac:dyDescent="0.25">
      <c r="B89" s="27">
        <v>86</v>
      </c>
    </row>
    <row r="90" spans="2:2" x14ac:dyDescent="0.25">
      <c r="B90" s="27">
        <v>87</v>
      </c>
    </row>
    <row r="91" spans="2:2" x14ac:dyDescent="0.25">
      <c r="B91" s="27">
        <v>88</v>
      </c>
    </row>
    <row r="92" spans="2:2" x14ac:dyDescent="0.25">
      <c r="B92" s="27">
        <v>89</v>
      </c>
    </row>
    <row r="93" spans="2:2" x14ac:dyDescent="0.25">
      <c r="B93" s="27">
        <v>90</v>
      </c>
    </row>
    <row r="94" spans="2:2" x14ac:dyDescent="0.25">
      <c r="B94" s="27">
        <v>91</v>
      </c>
    </row>
    <row r="95" spans="2:2" x14ac:dyDescent="0.25">
      <c r="B95" s="27">
        <v>92</v>
      </c>
    </row>
    <row r="96" spans="2:2" x14ac:dyDescent="0.25">
      <c r="B96" s="27">
        <v>93</v>
      </c>
    </row>
    <row r="97" spans="2:2" x14ac:dyDescent="0.25">
      <c r="B97" s="27">
        <v>94</v>
      </c>
    </row>
    <row r="98" spans="2:2" x14ac:dyDescent="0.25">
      <c r="B98" s="27">
        <v>95</v>
      </c>
    </row>
    <row r="99" spans="2:2" x14ac:dyDescent="0.25">
      <c r="B99" s="27">
        <v>96</v>
      </c>
    </row>
    <row r="100" spans="2:2" x14ac:dyDescent="0.25">
      <c r="B100" s="27">
        <v>97</v>
      </c>
    </row>
    <row r="101" spans="2:2" x14ac:dyDescent="0.25">
      <c r="B101" s="27">
        <v>98</v>
      </c>
    </row>
    <row r="102" spans="2:2" x14ac:dyDescent="0.25">
      <c r="B102" s="27">
        <v>99</v>
      </c>
    </row>
    <row r="103" spans="2:2" x14ac:dyDescent="0.25">
      <c r="B103" s="27">
        <v>100</v>
      </c>
    </row>
    <row r="104" spans="2:2" x14ac:dyDescent="0.25">
      <c r="B104" s="27">
        <v>101</v>
      </c>
    </row>
    <row r="105" spans="2:2" x14ac:dyDescent="0.25">
      <c r="B105" s="27">
        <v>102</v>
      </c>
    </row>
    <row r="106" spans="2:2" x14ac:dyDescent="0.25">
      <c r="B106" s="27">
        <v>103</v>
      </c>
    </row>
    <row r="107" spans="2:2" x14ac:dyDescent="0.25">
      <c r="B107" s="27">
        <v>104</v>
      </c>
    </row>
    <row r="108" spans="2:2" x14ac:dyDescent="0.25">
      <c r="B108" s="27">
        <v>105</v>
      </c>
    </row>
    <row r="109" spans="2:2" x14ac:dyDescent="0.25">
      <c r="B109" s="27">
        <v>106</v>
      </c>
    </row>
    <row r="110" spans="2:2" x14ac:dyDescent="0.25">
      <c r="B110" s="27">
        <v>107</v>
      </c>
    </row>
    <row r="111" spans="2:2" x14ac:dyDescent="0.25">
      <c r="B111" s="27">
        <v>108</v>
      </c>
    </row>
    <row r="112" spans="2:2" x14ac:dyDescent="0.25">
      <c r="B112" s="27">
        <v>109</v>
      </c>
    </row>
    <row r="113" spans="2:2" x14ac:dyDescent="0.25">
      <c r="B113" s="27">
        <v>110</v>
      </c>
    </row>
    <row r="114" spans="2:2" x14ac:dyDescent="0.25">
      <c r="B114" s="27">
        <v>111</v>
      </c>
    </row>
    <row r="115" spans="2:2" x14ac:dyDescent="0.25">
      <c r="B115" s="27">
        <v>112</v>
      </c>
    </row>
    <row r="116" spans="2:2" x14ac:dyDescent="0.25">
      <c r="B116" s="27">
        <v>113</v>
      </c>
    </row>
    <row r="117" spans="2:2" x14ac:dyDescent="0.25">
      <c r="B117" s="27">
        <v>114</v>
      </c>
    </row>
    <row r="118" spans="2:2" x14ac:dyDescent="0.25">
      <c r="B118" s="27">
        <v>115</v>
      </c>
    </row>
    <row r="119" spans="2:2" x14ac:dyDescent="0.25">
      <c r="B119" s="27">
        <v>116</v>
      </c>
    </row>
    <row r="120" spans="2:2" x14ac:dyDescent="0.25">
      <c r="B120" s="27">
        <v>117</v>
      </c>
    </row>
    <row r="121" spans="2:2" x14ac:dyDescent="0.25">
      <c r="B121" s="27">
        <v>118</v>
      </c>
    </row>
    <row r="122" spans="2:2" x14ac:dyDescent="0.25">
      <c r="B122" s="27">
        <v>119</v>
      </c>
    </row>
    <row r="123" spans="2:2" x14ac:dyDescent="0.25">
      <c r="B123" s="27">
        <v>120</v>
      </c>
    </row>
    <row r="124" spans="2:2" x14ac:dyDescent="0.25">
      <c r="B124" s="27">
        <v>121</v>
      </c>
    </row>
    <row r="125" spans="2:2" x14ac:dyDescent="0.25">
      <c r="B125" s="27">
        <v>122</v>
      </c>
    </row>
    <row r="126" spans="2:2" x14ac:dyDescent="0.25">
      <c r="B126" s="27">
        <v>123</v>
      </c>
    </row>
    <row r="127" spans="2:2" x14ac:dyDescent="0.25">
      <c r="B127" s="27">
        <v>124</v>
      </c>
    </row>
    <row r="128" spans="2:2" x14ac:dyDescent="0.25">
      <c r="B128" s="27">
        <v>125</v>
      </c>
    </row>
    <row r="129" spans="2:2" x14ac:dyDescent="0.25">
      <c r="B129" s="27">
        <v>126</v>
      </c>
    </row>
    <row r="130" spans="2:2" x14ac:dyDescent="0.25">
      <c r="B130" s="27">
        <v>127</v>
      </c>
    </row>
    <row r="131" spans="2:2" x14ac:dyDescent="0.25">
      <c r="B131" s="27">
        <v>128</v>
      </c>
    </row>
    <row r="132" spans="2:2" x14ac:dyDescent="0.25">
      <c r="B132" s="27">
        <v>129</v>
      </c>
    </row>
    <row r="133" spans="2:2" x14ac:dyDescent="0.25">
      <c r="B133" s="27">
        <v>130</v>
      </c>
    </row>
    <row r="134" spans="2:2" x14ac:dyDescent="0.25">
      <c r="B134" s="27">
        <v>131</v>
      </c>
    </row>
    <row r="135" spans="2:2" x14ac:dyDescent="0.25">
      <c r="B135" s="27">
        <v>132</v>
      </c>
    </row>
    <row r="136" spans="2:2" x14ac:dyDescent="0.25">
      <c r="B136" s="27">
        <v>133</v>
      </c>
    </row>
    <row r="137" spans="2:2" x14ac:dyDescent="0.25">
      <c r="B137" s="27">
        <v>134</v>
      </c>
    </row>
    <row r="138" spans="2:2" x14ac:dyDescent="0.25">
      <c r="B138" s="27">
        <v>135</v>
      </c>
    </row>
    <row r="139" spans="2:2" x14ac:dyDescent="0.25">
      <c r="B139" s="27">
        <v>136</v>
      </c>
    </row>
    <row r="140" spans="2:2" x14ac:dyDescent="0.25">
      <c r="B140" s="27">
        <v>137</v>
      </c>
    </row>
    <row r="141" spans="2:2" x14ac:dyDescent="0.25">
      <c r="B141" s="27">
        <v>138</v>
      </c>
    </row>
    <row r="142" spans="2:2" x14ac:dyDescent="0.25">
      <c r="B142" s="27">
        <v>139</v>
      </c>
    </row>
    <row r="143" spans="2:2" x14ac:dyDescent="0.25">
      <c r="B143" s="27">
        <v>140</v>
      </c>
    </row>
    <row r="144" spans="2:2" x14ac:dyDescent="0.25">
      <c r="B144" s="27">
        <v>141</v>
      </c>
    </row>
    <row r="145" spans="2:2" x14ac:dyDescent="0.25">
      <c r="B145" s="27">
        <v>142</v>
      </c>
    </row>
    <row r="146" spans="2:2" x14ac:dyDescent="0.25">
      <c r="B146" s="27">
        <v>143</v>
      </c>
    </row>
    <row r="147" spans="2:2" x14ac:dyDescent="0.25">
      <c r="B147" s="27">
        <v>144</v>
      </c>
    </row>
    <row r="148" spans="2:2" x14ac:dyDescent="0.25">
      <c r="B148" s="27">
        <v>145</v>
      </c>
    </row>
    <row r="149" spans="2:2" x14ac:dyDescent="0.25">
      <c r="B149" s="27">
        <v>146</v>
      </c>
    </row>
    <row r="150" spans="2:2" x14ac:dyDescent="0.25">
      <c r="B150" s="27">
        <v>147</v>
      </c>
    </row>
    <row r="151" spans="2:2" x14ac:dyDescent="0.25">
      <c r="B151" s="27">
        <v>148</v>
      </c>
    </row>
    <row r="152" spans="2:2" x14ac:dyDescent="0.25">
      <c r="B152" s="27">
        <v>149</v>
      </c>
    </row>
    <row r="153" spans="2:2" x14ac:dyDescent="0.25">
      <c r="B153" s="27">
        <v>150</v>
      </c>
    </row>
    <row r="154" spans="2:2" x14ac:dyDescent="0.25">
      <c r="B154" s="27">
        <v>151</v>
      </c>
    </row>
    <row r="155" spans="2:2" x14ac:dyDescent="0.25">
      <c r="B155" s="27">
        <v>152</v>
      </c>
    </row>
    <row r="156" spans="2:2" x14ac:dyDescent="0.25">
      <c r="B156" s="27">
        <v>153</v>
      </c>
    </row>
    <row r="157" spans="2:2" x14ac:dyDescent="0.25">
      <c r="B157" s="27">
        <v>154</v>
      </c>
    </row>
    <row r="158" spans="2:2" x14ac:dyDescent="0.25">
      <c r="B158" s="27">
        <v>155</v>
      </c>
    </row>
    <row r="159" spans="2:2" x14ac:dyDescent="0.25">
      <c r="B159" s="27">
        <v>156</v>
      </c>
    </row>
    <row r="160" spans="2:2" x14ac:dyDescent="0.25">
      <c r="B160" s="27">
        <v>157</v>
      </c>
    </row>
    <row r="161" spans="2:2" x14ac:dyDescent="0.25">
      <c r="B161" s="27">
        <v>158</v>
      </c>
    </row>
    <row r="162" spans="2:2" x14ac:dyDescent="0.25">
      <c r="B162" s="27">
        <v>159</v>
      </c>
    </row>
    <row r="163" spans="2:2" x14ac:dyDescent="0.25">
      <c r="B163" s="27">
        <v>160</v>
      </c>
    </row>
    <row r="164" spans="2:2" x14ac:dyDescent="0.25">
      <c r="B164" s="27">
        <v>161</v>
      </c>
    </row>
    <row r="165" spans="2:2" x14ac:dyDescent="0.25">
      <c r="B165" s="27">
        <v>162</v>
      </c>
    </row>
    <row r="166" spans="2:2" x14ac:dyDescent="0.25">
      <c r="B166" s="27">
        <v>163</v>
      </c>
    </row>
    <row r="167" spans="2:2" x14ac:dyDescent="0.25">
      <c r="B167" s="27">
        <v>164</v>
      </c>
    </row>
    <row r="168" spans="2:2" x14ac:dyDescent="0.25">
      <c r="B168" s="27">
        <v>165</v>
      </c>
    </row>
    <row r="169" spans="2:2" x14ac:dyDescent="0.25">
      <c r="B169" s="27">
        <v>166</v>
      </c>
    </row>
    <row r="170" spans="2:2" x14ac:dyDescent="0.25">
      <c r="B170" s="27">
        <v>167</v>
      </c>
    </row>
    <row r="171" spans="2:2" x14ac:dyDescent="0.25">
      <c r="B171" s="27">
        <v>168</v>
      </c>
    </row>
    <row r="172" spans="2:2" x14ac:dyDescent="0.25">
      <c r="B172" s="27">
        <v>169</v>
      </c>
    </row>
    <row r="173" spans="2:2" x14ac:dyDescent="0.25">
      <c r="B173" s="27">
        <v>170</v>
      </c>
    </row>
    <row r="174" spans="2:2" x14ac:dyDescent="0.25">
      <c r="B174" s="27">
        <v>171</v>
      </c>
    </row>
    <row r="175" spans="2:2" x14ac:dyDescent="0.25">
      <c r="B175" s="27">
        <v>172</v>
      </c>
    </row>
    <row r="176" spans="2:2" x14ac:dyDescent="0.25">
      <c r="B176" s="27">
        <v>173</v>
      </c>
    </row>
    <row r="177" spans="2:2" x14ac:dyDescent="0.25">
      <c r="B177" s="27">
        <v>174</v>
      </c>
    </row>
    <row r="178" spans="2:2" x14ac:dyDescent="0.25">
      <c r="B178" s="27">
        <v>175</v>
      </c>
    </row>
    <row r="179" spans="2:2" x14ac:dyDescent="0.25">
      <c r="B179" s="27">
        <v>176</v>
      </c>
    </row>
    <row r="180" spans="2:2" x14ac:dyDescent="0.25">
      <c r="B180" s="27">
        <v>177</v>
      </c>
    </row>
    <row r="181" spans="2:2" x14ac:dyDescent="0.25">
      <c r="B181" s="27">
        <v>178</v>
      </c>
    </row>
    <row r="182" spans="2:2" x14ac:dyDescent="0.25">
      <c r="B182" s="27">
        <v>179</v>
      </c>
    </row>
    <row r="183" spans="2:2" x14ac:dyDescent="0.25">
      <c r="B183" s="27">
        <v>180</v>
      </c>
    </row>
    <row r="184" spans="2:2" x14ac:dyDescent="0.25">
      <c r="B184" s="27">
        <v>181</v>
      </c>
    </row>
    <row r="185" spans="2:2" x14ac:dyDescent="0.25">
      <c r="B185" s="27">
        <v>182</v>
      </c>
    </row>
    <row r="186" spans="2:2" x14ac:dyDescent="0.25">
      <c r="B186" s="27">
        <v>183</v>
      </c>
    </row>
    <row r="187" spans="2:2" x14ac:dyDescent="0.25">
      <c r="B187" s="27">
        <v>184</v>
      </c>
    </row>
    <row r="188" spans="2:2" x14ac:dyDescent="0.25">
      <c r="B188" s="27">
        <v>185</v>
      </c>
    </row>
    <row r="189" spans="2:2" x14ac:dyDescent="0.25">
      <c r="B189" s="27">
        <v>186</v>
      </c>
    </row>
    <row r="190" spans="2:2" x14ac:dyDescent="0.25">
      <c r="B190" s="27">
        <v>187</v>
      </c>
    </row>
    <row r="191" spans="2:2" x14ac:dyDescent="0.25">
      <c r="B191" s="27">
        <v>188</v>
      </c>
    </row>
    <row r="192" spans="2:2" x14ac:dyDescent="0.25">
      <c r="B192" s="27">
        <v>189</v>
      </c>
    </row>
    <row r="193" spans="2:2" x14ac:dyDescent="0.25">
      <c r="B193" s="27">
        <v>190</v>
      </c>
    </row>
    <row r="194" spans="2:2" x14ac:dyDescent="0.25">
      <c r="B194" s="27">
        <v>191</v>
      </c>
    </row>
    <row r="195" spans="2:2" x14ac:dyDescent="0.25">
      <c r="B195" s="27">
        <v>192</v>
      </c>
    </row>
    <row r="196" spans="2:2" x14ac:dyDescent="0.25">
      <c r="B196" s="27">
        <v>193</v>
      </c>
    </row>
    <row r="197" spans="2:2" x14ac:dyDescent="0.25">
      <c r="B197" s="27">
        <v>194</v>
      </c>
    </row>
    <row r="198" spans="2:2" x14ac:dyDescent="0.25">
      <c r="B198" s="27">
        <v>195</v>
      </c>
    </row>
    <row r="199" spans="2:2" x14ac:dyDescent="0.25">
      <c r="B199" s="27">
        <v>196</v>
      </c>
    </row>
    <row r="200" spans="2:2" x14ac:dyDescent="0.25">
      <c r="B200" s="27">
        <v>197</v>
      </c>
    </row>
    <row r="201" spans="2:2" x14ac:dyDescent="0.25">
      <c r="B201" s="27">
        <v>198</v>
      </c>
    </row>
    <row r="202" spans="2:2" x14ac:dyDescent="0.25">
      <c r="B202" s="27">
        <v>199</v>
      </c>
    </row>
    <row r="203" spans="2:2" x14ac:dyDescent="0.25">
      <c r="B203" s="27">
        <v>200</v>
      </c>
    </row>
    <row r="204" spans="2:2" x14ac:dyDescent="0.25">
      <c r="B204" s="27">
        <v>201</v>
      </c>
    </row>
    <row r="205" spans="2:2" x14ac:dyDescent="0.25">
      <c r="B205" s="27">
        <v>202</v>
      </c>
    </row>
    <row r="206" spans="2:2" x14ac:dyDescent="0.25">
      <c r="B206" s="27">
        <v>203</v>
      </c>
    </row>
    <row r="207" spans="2:2" x14ac:dyDescent="0.25">
      <c r="B207" s="27">
        <v>204</v>
      </c>
    </row>
    <row r="208" spans="2:2" x14ac:dyDescent="0.25">
      <c r="B208" s="27">
        <v>205</v>
      </c>
    </row>
    <row r="209" spans="2:2" x14ac:dyDescent="0.25">
      <c r="B209" s="27">
        <v>206</v>
      </c>
    </row>
    <row r="210" spans="2:2" x14ac:dyDescent="0.25">
      <c r="B210" s="27">
        <v>207</v>
      </c>
    </row>
    <row r="211" spans="2:2" x14ac:dyDescent="0.25">
      <c r="B211" s="27">
        <v>208</v>
      </c>
    </row>
    <row r="212" spans="2:2" x14ac:dyDescent="0.25">
      <c r="B212" s="27">
        <v>209</v>
      </c>
    </row>
    <row r="213" spans="2:2" x14ac:dyDescent="0.25">
      <c r="B213" s="27">
        <v>210</v>
      </c>
    </row>
    <row r="214" spans="2:2" x14ac:dyDescent="0.25">
      <c r="B214" s="27">
        <v>211</v>
      </c>
    </row>
    <row r="215" spans="2:2" x14ac:dyDescent="0.25">
      <c r="B215" s="27">
        <v>212</v>
      </c>
    </row>
    <row r="216" spans="2:2" x14ac:dyDescent="0.25">
      <c r="B216" s="27">
        <v>213</v>
      </c>
    </row>
    <row r="217" spans="2:2" x14ac:dyDescent="0.25">
      <c r="B217" s="27">
        <v>214</v>
      </c>
    </row>
    <row r="218" spans="2:2" x14ac:dyDescent="0.25">
      <c r="B218" s="27">
        <v>215</v>
      </c>
    </row>
    <row r="219" spans="2:2" x14ac:dyDescent="0.25">
      <c r="B219" s="27">
        <v>216</v>
      </c>
    </row>
    <row r="220" spans="2:2" x14ac:dyDescent="0.25">
      <c r="B220" s="27">
        <v>217</v>
      </c>
    </row>
    <row r="221" spans="2:2" x14ac:dyDescent="0.25">
      <c r="B221" s="27">
        <v>218</v>
      </c>
    </row>
    <row r="222" spans="2:2" x14ac:dyDescent="0.25">
      <c r="B222" s="27">
        <v>219</v>
      </c>
    </row>
    <row r="223" spans="2:2" x14ac:dyDescent="0.25">
      <c r="B223" s="27">
        <v>220</v>
      </c>
    </row>
    <row r="224" spans="2:2" x14ac:dyDescent="0.25">
      <c r="B224" s="27">
        <v>221</v>
      </c>
    </row>
    <row r="225" spans="2:2" x14ac:dyDescent="0.25">
      <c r="B225" s="27">
        <v>222</v>
      </c>
    </row>
    <row r="226" spans="2:2" x14ac:dyDescent="0.25">
      <c r="B226" s="27">
        <v>223</v>
      </c>
    </row>
    <row r="227" spans="2:2" x14ac:dyDescent="0.25">
      <c r="B227" s="27">
        <v>224</v>
      </c>
    </row>
    <row r="228" spans="2:2" x14ac:dyDescent="0.25">
      <c r="B228" s="27">
        <v>225</v>
      </c>
    </row>
    <row r="229" spans="2:2" x14ac:dyDescent="0.25">
      <c r="B229" s="27">
        <v>226</v>
      </c>
    </row>
    <row r="230" spans="2:2" x14ac:dyDescent="0.25">
      <c r="B230" s="27">
        <v>227</v>
      </c>
    </row>
    <row r="231" spans="2:2" x14ac:dyDescent="0.25">
      <c r="B231" s="27">
        <v>228</v>
      </c>
    </row>
    <row r="232" spans="2:2" x14ac:dyDescent="0.25">
      <c r="B232" s="27">
        <v>229</v>
      </c>
    </row>
    <row r="233" spans="2:2" x14ac:dyDescent="0.25">
      <c r="B233" s="27">
        <v>230</v>
      </c>
    </row>
    <row r="234" spans="2:2" x14ac:dyDescent="0.25">
      <c r="B234" s="27">
        <v>231</v>
      </c>
    </row>
    <row r="235" spans="2:2" x14ac:dyDescent="0.25">
      <c r="B235" s="27">
        <v>232</v>
      </c>
    </row>
    <row r="236" spans="2:2" x14ac:dyDescent="0.25">
      <c r="B236" s="27">
        <v>233</v>
      </c>
    </row>
    <row r="237" spans="2:2" x14ac:dyDescent="0.25">
      <c r="B237" s="27">
        <v>234</v>
      </c>
    </row>
    <row r="238" spans="2:2" x14ac:dyDescent="0.25">
      <c r="B238" s="27">
        <v>235</v>
      </c>
    </row>
    <row r="239" spans="2:2" x14ac:dyDescent="0.25">
      <c r="B239" s="27">
        <v>236</v>
      </c>
    </row>
    <row r="240" spans="2:2" x14ac:dyDescent="0.25">
      <c r="B240" s="27">
        <v>237</v>
      </c>
    </row>
    <row r="241" spans="2:2" x14ac:dyDescent="0.25">
      <c r="B241" s="27">
        <v>238</v>
      </c>
    </row>
    <row r="242" spans="2:2" x14ac:dyDescent="0.25">
      <c r="B242" s="27">
        <v>239</v>
      </c>
    </row>
    <row r="243" spans="2:2" x14ac:dyDescent="0.25">
      <c r="B243" s="27">
        <v>240</v>
      </c>
    </row>
    <row r="244" spans="2:2" x14ac:dyDescent="0.25">
      <c r="B244" s="27">
        <v>241</v>
      </c>
    </row>
    <row r="245" spans="2:2" x14ac:dyDescent="0.25">
      <c r="B245" s="27">
        <v>242</v>
      </c>
    </row>
    <row r="246" spans="2:2" x14ac:dyDescent="0.25">
      <c r="B246" s="27">
        <v>243</v>
      </c>
    </row>
    <row r="247" spans="2:2" x14ac:dyDescent="0.25">
      <c r="B247" s="27">
        <v>244</v>
      </c>
    </row>
    <row r="248" spans="2:2" x14ac:dyDescent="0.25">
      <c r="B248" s="27">
        <v>245</v>
      </c>
    </row>
    <row r="249" spans="2:2" x14ac:dyDescent="0.25">
      <c r="B249" s="27">
        <v>246</v>
      </c>
    </row>
    <row r="250" spans="2:2" x14ac:dyDescent="0.25">
      <c r="B250" s="27">
        <v>247</v>
      </c>
    </row>
    <row r="251" spans="2:2" x14ac:dyDescent="0.25">
      <c r="B251" s="27">
        <v>248</v>
      </c>
    </row>
    <row r="252" spans="2:2" x14ac:dyDescent="0.25">
      <c r="B252" s="27">
        <v>249</v>
      </c>
    </row>
    <row r="253" spans="2:2" x14ac:dyDescent="0.25">
      <c r="B253" s="27">
        <v>250</v>
      </c>
    </row>
    <row r="254" spans="2:2" x14ac:dyDescent="0.25">
      <c r="B254" s="27">
        <v>251</v>
      </c>
    </row>
    <row r="255" spans="2:2" x14ac:dyDescent="0.25">
      <c r="B255" s="27">
        <v>252</v>
      </c>
    </row>
    <row r="256" spans="2:2" x14ac:dyDescent="0.25">
      <c r="B256" s="27">
        <v>253</v>
      </c>
    </row>
    <row r="257" spans="2:2" x14ac:dyDescent="0.25">
      <c r="B257" s="27">
        <v>254</v>
      </c>
    </row>
    <row r="258" spans="2:2" x14ac:dyDescent="0.25">
      <c r="B258" s="27">
        <v>255</v>
      </c>
    </row>
    <row r="259" spans="2:2" x14ac:dyDescent="0.25">
      <c r="B259" s="27">
        <v>256</v>
      </c>
    </row>
    <row r="260" spans="2:2" x14ac:dyDescent="0.25">
      <c r="B260" s="27">
        <v>257</v>
      </c>
    </row>
    <row r="261" spans="2:2" x14ac:dyDescent="0.25">
      <c r="B261" s="27">
        <v>258</v>
      </c>
    </row>
    <row r="262" spans="2:2" x14ac:dyDescent="0.25">
      <c r="B262" s="27">
        <v>259</v>
      </c>
    </row>
    <row r="263" spans="2:2" x14ac:dyDescent="0.25">
      <c r="B263" s="27">
        <v>260</v>
      </c>
    </row>
    <row r="264" spans="2:2" x14ac:dyDescent="0.25">
      <c r="B264" s="27">
        <v>261</v>
      </c>
    </row>
    <row r="265" spans="2:2" x14ac:dyDescent="0.25">
      <c r="B265" s="27">
        <v>262</v>
      </c>
    </row>
    <row r="266" spans="2:2" x14ac:dyDescent="0.25">
      <c r="B266" s="27">
        <v>263</v>
      </c>
    </row>
    <row r="267" spans="2:2" x14ac:dyDescent="0.25">
      <c r="B267" s="27">
        <v>264</v>
      </c>
    </row>
    <row r="268" spans="2:2" x14ac:dyDescent="0.25">
      <c r="B268" s="27">
        <v>265</v>
      </c>
    </row>
    <row r="269" spans="2:2" x14ac:dyDescent="0.25">
      <c r="B269" s="27">
        <v>266</v>
      </c>
    </row>
    <row r="270" spans="2:2" x14ac:dyDescent="0.25">
      <c r="B270" s="27">
        <v>267</v>
      </c>
    </row>
    <row r="271" spans="2:2" x14ac:dyDescent="0.25">
      <c r="B271" s="27">
        <v>268</v>
      </c>
    </row>
    <row r="272" spans="2:2" x14ac:dyDescent="0.25">
      <c r="B272" s="27">
        <v>269</v>
      </c>
    </row>
    <row r="273" spans="2:2" x14ac:dyDescent="0.25">
      <c r="B273" s="27">
        <v>270</v>
      </c>
    </row>
    <row r="274" spans="2:2" x14ac:dyDescent="0.25">
      <c r="B274" s="27">
        <v>271</v>
      </c>
    </row>
    <row r="275" spans="2:2" x14ac:dyDescent="0.25">
      <c r="B275" s="27">
        <v>272</v>
      </c>
    </row>
    <row r="276" spans="2:2" x14ac:dyDescent="0.25">
      <c r="B276" s="27">
        <v>273</v>
      </c>
    </row>
    <row r="277" spans="2:2" x14ac:dyDescent="0.25">
      <c r="B277" s="27">
        <v>274</v>
      </c>
    </row>
    <row r="278" spans="2:2" x14ac:dyDescent="0.25">
      <c r="B278" s="27">
        <v>275</v>
      </c>
    </row>
    <row r="279" spans="2:2" x14ac:dyDescent="0.25">
      <c r="B279" s="27">
        <v>276</v>
      </c>
    </row>
    <row r="280" spans="2:2" x14ac:dyDescent="0.25">
      <c r="B280" s="27">
        <v>277</v>
      </c>
    </row>
    <row r="281" spans="2:2" x14ac:dyDescent="0.25">
      <c r="B281" s="27">
        <v>278</v>
      </c>
    </row>
    <row r="282" spans="2:2" x14ac:dyDescent="0.25">
      <c r="B282" s="27">
        <v>279</v>
      </c>
    </row>
    <row r="283" spans="2:2" x14ac:dyDescent="0.25">
      <c r="B283" s="27">
        <v>280</v>
      </c>
    </row>
    <row r="284" spans="2:2" x14ac:dyDescent="0.25">
      <c r="B284" s="27">
        <v>281</v>
      </c>
    </row>
    <row r="285" spans="2:2" x14ac:dyDescent="0.25">
      <c r="B285" s="27">
        <v>282</v>
      </c>
    </row>
    <row r="286" spans="2:2" x14ac:dyDescent="0.25">
      <c r="B286" s="27">
        <v>283</v>
      </c>
    </row>
    <row r="287" spans="2:2" x14ac:dyDescent="0.25">
      <c r="B287" s="27">
        <v>284</v>
      </c>
    </row>
    <row r="288" spans="2:2" x14ac:dyDescent="0.25">
      <c r="B288" s="27">
        <v>285</v>
      </c>
    </row>
    <row r="289" spans="2:2" x14ac:dyDescent="0.25">
      <c r="B289" s="27">
        <v>286</v>
      </c>
    </row>
    <row r="290" spans="2:2" x14ac:dyDescent="0.25">
      <c r="B290" s="27">
        <v>287</v>
      </c>
    </row>
    <row r="291" spans="2:2" x14ac:dyDescent="0.25">
      <c r="B291" s="27">
        <v>288</v>
      </c>
    </row>
    <row r="292" spans="2:2" x14ac:dyDescent="0.25">
      <c r="B292" s="27">
        <v>289</v>
      </c>
    </row>
    <row r="293" spans="2:2" x14ac:dyDescent="0.25">
      <c r="B293" s="27">
        <v>290</v>
      </c>
    </row>
    <row r="294" spans="2:2" x14ac:dyDescent="0.25">
      <c r="B294" s="27">
        <v>291</v>
      </c>
    </row>
    <row r="295" spans="2:2" x14ac:dyDescent="0.25">
      <c r="B295" s="27">
        <v>292</v>
      </c>
    </row>
    <row r="296" spans="2:2" x14ac:dyDescent="0.25">
      <c r="B296" s="27">
        <v>293</v>
      </c>
    </row>
    <row r="297" spans="2:2" x14ac:dyDescent="0.25">
      <c r="B297" s="27">
        <v>294</v>
      </c>
    </row>
    <row r="298" spans="2:2" x14ac:dyDescent="0.25">
      <c r="B298" s="27">
        <v>295</v>
      </c>
    </row>
    <row r="299" spans="2:2" x14ac:dyDescent="0.25">
      <c r="B299" s="27">
        <v>296</v>
      </c>
    </row>
    <row r="300" spans="2:2" x14ac:dyDescent="0.25">
      <c r="B300" s="27">
        <v>297</v>
      </c>
    </row>
    <row r="301" spans="2:2" x14ac:dyDescent="0.25">
      <c r="B301" s="27">
        <v>298</v>
      </c>
    </row>
    <row r="302" spans="2:2" x14ac:dyDescent="0.25">
      <c r="B302" s="27">
        <v>299</v>
      </c>
    </row>
    <row r="303" spans="2:2" x14ac:dyDescent="0.25">
      <c r="B303" s="27">
        <v>300</v>
      </c>
    </row>
    <row r="304" spans="2:2" x14ac:dyDescent="0.25">
      <c r="B304" s="27">
        <v>301</v>
      </c>
    </row>
    <row r="305" spans="2:2" x14ac:dyDescent="0.25">
      <c r="B305" s="27">
        <v>302</v>
      </c>
    </row>
    <row r="306" spans="2:2" x14ac:dyDescent="0.25">
      <c r="B306" s="27">
        <v>303</v>
      </c>
    </row>
    <row r="307" spans="2:2" x14ac:dyDescent="0.25">
      <c r="B307" s="27">
        <v>304</v>
      </c>
    </row>
    <row r="308" spans="2:2" x14ac:dyDescent="0.25">
      <c r="B308" s="27">
        <v>305</v>
      </c>
    </row>
    <row r="309" spans="2:2" x14ac:dyDescent="0.25">
      <c r="B309" s="27">
        <v>306</v>
      </c>
    </row>
    <row r="310" spans="2:2" x14ac:dyDescent="0.25">
      <c r="B310" s="27">
        <v>307</v>
      </c>
    </row>
    <row r="311" spans="2:2" x14ac:dyDescent="0.25">
      <c r="B311" s="27">
        <v>308</v>
      </c>
    </row>
    <row r="312" spans="2:2" x14ac:dyDescent="0.25">
      <c r="B312" s="27">
        <v>309</v>
      </c>
    </row>
    <row r="313" spans="2:2" x14ac:dyDescent="0.25">
      <c r="B313" s="27">
        <v>310</v>
      </c>
    </row>
    <row r="314" spans="2:2" x14ac:dyDescent="0.25">
      <c r="B314" s="27">
        <v>311</v>
      </c>
    </row>
    <row r="315" spans="2:2" x14ac:dyDescent="0.25">
      <c r="B315" s="27">
        <v>312</v>
      </c>
    </row>
    <row r="316" spans="2:2" x14ac:dyDescent="0.25">
      <c r="B316" s="27">
        <v>313</v>
      </c>
    </row>
    <row r="317" spans="2:2" x14ac:dyDescent="0.25">
      <c r="B317" s="27">
        <v>314</v>
      </c>
    </row>
    <row r="318" spans="2:2" x14ac:dyDescent="0.25">
      <c r="B318" s="27">
        <v>315</v>
      </c>
    </row>
    <row r="319" spans="2:2" x14ac:dyDescent="0.25">
      <c r="B319" s="27">
        <v>316</v>
      </c>
    </row>
    <row r="320" spans="2:2" x14ac:dyDescent="0.25">
      <c r="B320" s="27">
        <v>317</v>
      </c>
    </row>
    <row r="321" spans="2:2" x14ac:dyDescent="0.25">
      <c r="B321" s="27">
        <v>318</v>
      </c>
    </row>
    <row r="322" spans="2:2" x14ac:dyDescent="0.25">
      <c r="B322" s="27">
        <v>319</v>
      </c>
    </row>
    <row r="323" spans="2:2" x14ac:dyDescent="0.25">
      <c r="B323" s="27">
        <v>320</v>
      </c>
    </row>
    <row r="324" spans="2:2" x14ac:dyDescent="0.25">
      <c r="B324" s="27">
        <v>321</v>
      </c>
    </row>
    <row r="325" spans="2:2" x14ac:dyDescent="0.25">
      <c r="B325" s="27">
        <v>322</v>
      </c>
    </row>
    <row r="326" spans="2:2" x14ac:dyDescent="0.25">
      <c r="B326" s="27">
        <v>323</v>
      </c>
    </row>
    <row r="327" spans="2:2" x14ac:dyDescent="0.25">
      <c r="B327" s="27">
        <v>324</v>
      </c>
    </row>
    <row r="328" spans="2:2" x14ac:dyDescent="0.25">
      <c r="B328" s="27">
        <v>325</v>
      </c>
    </row>
    <row r="329" spans="2:2" x14ac:dyDescent="0.25">
      <c r="B329" s="27">
        <v>326</v>
      </c>
    </row>
    <row r="330" spans="2:2" x14ac:dyDescent="0.25">
      <c r="B330" s="27">
        <v>327</v>
      </c>
    </row>
    <row r="331" spans="2:2" x14ac:dyDescent="0.25">
      <c r="B331" s="27">
        <v>328</v>
      </c>
    </row>
    <row r="332" spans="2:2" x14ac:dyDescent="0.25">
      <c r="B332" s="27">
        <v>329</v>
      </c>
    </row>
    <row r="333" spans="2:2" x14ac:dyDescent="0.25">
      <c r="B333" s="27">
        <v>330</v>
      </c>
    </row>
    <row r="334" spans="2:2" x14ac:dyDescent="0.25">
      <c r="B334" s="27">
        <v>331</v>
      </c>
    </row>
    <row r="335" spans="2:2" x14ac:dyDescent="0.25">
      <c r="B335" s="27">
        <v>332</v>
      </c>
    </row>
    <row r="336" spans="2:2" x14ac:dyDescent="0.25">
      <c r="B336" s="27">
        <v>333</v>
      </c>
    </row>
    <row r="337" spans="2:2" x14ac:dyDescent="0.25">
      <c r="B337" s="27">
        <v>334</v>
      </c>
    </row>
    <row r="338" spans="2:2" x14ac:dyDescent="0.25">
      <c r="B338" s="27">
        <v>335</v>
      </c>
    </row>
    <row r="339" spans="2:2" x14ac:dyDescent="0.25">
      <c r="B339" s="27">
        <v>336</v>
      </c>
    </row>
    <row r="340" spans="2:2" x14ac:dyDescent="0.25">
      <c r="B340" s="27">
        <v>337</v>
      </c>
    </row>
    <row r="341" spans="2:2" x14ac:dyDescent="0.25">
      <c r="B341" s="27">
        <v>338</v>
      </c>
    </row>
    <row r="342" spans="2:2" x14ac:dyDescent="0.25">
      <c r="B342" s="27">
        <v>339</v>
      </c>
    </row>
    <row r="343" spans="2:2" x14ac:dyDescent="0.25">
      <c r="B343" s="27">
        <v>340</v>
      </c>
    </row>
    <row r="344" spans="2:2" x14ac:dyDescent="0.25">
      <c r="B344" s="27">
        <v>341</v>
      </c>
    </row>
    <row r="345" spans="2:2" x14ac:dyDescent="0.25">
      <c r="B345" s="27">
        <v>342</v>
      </c>
    </row>
    <row r="346" spans="2:2" x14ac:dyDescent="0.25">
      <c r="B346" s="27">
        <v>343</v>
      </c>
    </row>
    <row r="347" spans="2:2" x14ac:dyDescent="0.25">
      <c r="B347" s="27">
        <v>344</v>
      </c>
    </row>
    <row r="348" spans="2:2" x14ac:dyDescent="0.25">
      <c r="B348" s="27">
        <v>345</v>
      </c>
    </row>
    <row r="349" spans="2:2" x14ac:dyDescent="0.25">
      <c r="B349" s="27">
        <v>346</v>
      </c>
    </row>
    <row r="350" spans="2:2" x14ac:dyDescent="0.25">
      <c r="B350" s="27">
        <v>347</v>
      </c>
    </row>
    <row r="351" spans="2:2" x14ac:dyDescent="0.25">
      <c r="B351" s="27">
        <v>348</v>
      </c>
    </row>
    <row r="352" spans="2:2" x14ac:dyDescent="0.25">
      <c r="B352" s="27">
        <v>349</v>
      </c>
    </row>
    <row r="353" spans="2:2" x14ac:dyDescent="0.25">
      <c r="B353" s="27">
        <v>350</v>
      </c>
    </row>
    <row r="354" spans="2:2" x14ac:dyDescent="0.25">
      <c r="B354" s="27">
        <v>351</v>
      </c>
    </row>
    <row r="355" spans="2:2" x14ac:dyDescent="0.25">
      <c r="B355" s="27">
        <v>352</v>
      </c>
    </row>
    <row r="356" spans="2:2" x14ac:dyDescent="0.25">
      <c r="B356" s="27">
        <v>353</v>
      </c>
    </row>
    <row r="357" spans="2:2" x14ac:dyDescent="0.25">
      <c r="B357" s="27">
        <v>354</v>
      </c>
    </row>
    <row r="358" spans="2:2" x14ac:dyDescent="0.25">
      <c r="B358" s="27">
        <v>355</v>
      </c>
    </row>
    <row r="359" spans="2:2" x14ac:dyDescent="0.25">
      <c r="B359" s="27">
        <v>356</v>
      </c>
    </row>
    <row r="360" spans="2:2" x14ac:dyDescent="0.25">
      <c r="B360" s="27">
        <v>357</v>
      </c>
    </row>
    <row r="361" spans="2:2" x14ac:dyDescent="0.25">
      <c r="B361" s="27">
        <v>358</v>
      </c>
    </row>
    <row r="362" spans="2:2" x14ac:dyDescent="0.25">
      <c r="B362" s="27">
        <v>359</v>
      </c>
    </row>
    <row r="363" spans="2:2" x14ac:dyDescent="0.25">
      <c r="B363" s="27">
        <v>360</v>
      </c>
    </row>
    <row r="364" spans="2:2" x14ac:dyDescent="0.25">
      <c r="B364" s="27">
        <v>361</v>
      </c>
    </row>
    <row r="365" spans="2:2" x14ac:dyDescent="0.25">
      <c r="B365" s="27">
        <v>362</v>
      </c>
    </row>
    <row r="366" spans="2:2" x14ac:dyDescent="0.25">
      <c r="B366" s="27">
        <v>363</v>
      </c>
    </row>
    <row r="367" spans="2:2" x14ac:dyDescent="0.25">
      <c r="B367" s="27">
        <v>364</v>
      </c>
    </row>
    <row r="368" spans="2:2" x14ac:dyDescent="0.25">
      <c r="B368" s="27">
        <v>365</v>
      </c>
    </row>
    <row r="369" spans="2:2" x14ac:dyDescent="0.25">
      <c r="B369" s="27">
        <v>366</v>
      </c>
    </row>
    <row r="370" spans="2:2" x14ac:dyDescent="0.25">
      <c r="B370" s="27">
        <v>367</v>
      </c>
    </row>
    <row r="371" spans="2:2" x14ac:dyDescent="0.25">
      <c r="B371" s="27">
        <v>368</v>
      </c>
    </row>
    <row r="372" spans="2:2" x14ac:dyDescent="0.25">
      <c r="B372" s="27">
        <v>369</v>
      </c>
    </row>
    <row r="373" spans="2:2" x14ac:dyDescent="0.25">
      <c r="B373" s="27">
        <v>370</v>
      </c>
    </row>
    <row r="374" spans="2:2" x14ac:dyDescent="0.25">
      <c r="B374" s="27">
        <v>371</v>
      </c>
    </row>
    <row r="375" spans="2:2" x14ac:dyDescent="0.25">
      <c r="B375" s="27">
        <v>372</v>
      </c>
    </row>
    <row r="376" spans="2:2" x14ac:dyDescent="0.25">
      <c r="B376" s="27">
        <v>373</v>
      </c>
    </row>
    <row r="377" spans="2:2" x14ac:dyDescent="0.25">
      <c r="B377" s="27">
        <v>374</v>
      </c>
    </row>
    <row r="378" spans="2:2" x14ac:dyDescent="0.25">
      <c r="B378" s="27">
        <v>375</v>
      </c>
    </row>
    <row r="379" spans="2:2" x14ac:dyDescent="0.25">
      <c r="B379" s="27">
        <v>376</v>
      </c>
    </row>
    <row r="380" spans="2:2" x14ac:dyDescent="0.25">
      <c r="B380" s="27">
        <v>377</v>
      </c>
    </row>
    <row r="381" spans="2:2" x14ac:dyDescent="0.25">
      <c r="B381" s="27">
        <v>378</v>
      </c>
    </row>
    <row r="382" spans="2:2" x14ac:dyDescent="0.25">
      <c r="B382" s="27">
        <v>379</v>
      </c>
    </row>
    <row r="383" spans="2:2" x14ac:dyDescent="0.25">
      <c r="B383" s="27">
        <v>380</v>
      </c>
    </row>
    <row r="384" spans="2:2" x14ac:dyDescent="0.25">
      <c r="B384" s="27">
        <v>381</v>
      </c>
    </row>
    <row r="385" spans="2:2" x14ac:dyDescent="0.25">
      <c r="B385" s="27">
        <v>382</v>
      </c>
    </row>
    <row r="386" spans="2:2" x14ac:dyDescent="0.25">
      <c r="B386" s="27">
        <v>383</v>
      </c>
    </row>
    <row r="387" spans="2:2" x14ac:dyDescent="0.25">
      <c r="B387" s="27">
        <v>384</v>
      </c>
    </row>
    <row r="388" spans="2:2" x14ac:dyDescent="0.25">
      <c r="B388" s="27">
        <v>385</v>
      </c>
    </row>
    <row r="389" spans="2:2" x14ac:dyDescent="0.25">
      <c r="B389" s="27">
        <v>386</v>
      </c>
    </row>
    <row r="390" spans="2:2" x14ac:dyDescent="0.25">
      <c r="B390" s="27">
        <v>387</v>
      </c>
    </row>
    <row r="391" spans="2:2" x14ac:dyDescent="0.25">
      <c r="B391" s="27">
        <v>388</v>
      </c>
    </row>
    <row r="392" spans="2:2" x14ac:dyDescent="0.25">
      <c r="B392" s="27">
        <v>389</v>
      </c>
    </row>
    <row r="393" spans="2:2" x14ac:dyDescent="0.25">
      <c r="B393" s="27">
        <v>390</v>
      </c>
    </row>
    <row r="394" spans="2:2" x14ac:dyDescent="0.25">
      <c r="B394" s="27">
        <v>391</v>
      </c>
    </row>
    <row r="395" spans="2:2" x14ac:dyDescent="0.25">
      <c r="B395" s="27">
        <v>392</v>
      </c>
    </row>
    <row r="396" spans="2:2" x14ac:dyDescent="0.25">
      <c r="B396" s="27">
        <v>393</v>
      </c>
    </row>
    <row r="397" spans="2:2" x14ac:dyDescent="0.25">
      <c r="B397" s="27">
        <v>394</v>
      </c>
    </row>
    <row r="398" spans="2:2" x14ac:dyDescent="0.25">
      <c r="B398" s="27">
        <v>395</v>
      </c>
    </row>
    <row r="399" spans="2:2" x14ac:dyDescent="0.25">
      <c r="B399" s="27">
        <v>396</v>
      </c>
    </row>
    <row r="400" spans="2:2" x14ac:dyDescent="0.25">
      <c r="B400" s="27">
        <v>397</v>
      </c>
    </row>
    <row r="401" spans="2:2" x14ac:dyDescent="0.25">
      <c r="B401" s="27">
        <v>398</v>
      </c>
    </row>
    <row r="402" spans="2:2" x14ac:dyDescent="0.25">
      <c r="B402" s="27">
        <v>399</v>
      </c>
    </row>
    <row r="403" spans="2:2" x14ac:dyDescent="0.25">
      <c r="B403" s="27">
        <v>400</v>
      </c>
    </row>
    <row r="404" spans="2:2" x14ac:dyDescent="0.25">
      <c r="B404" s="27">
        <v>401</v>
      </c>
    </row>
    <row r="405" spans="2:2" x14ac:dyDescent="0.25">
      <c r="B405" s="27">
        <v>402</v>
      </c>
    </row>
    <row r="406" spans="2:2" x14ac:dyDescent="0.25">
      <c r="B406" s="27">
        <v>403</v>
      </c>
    </row>
    <row r="407" spans="2:2" x14ac:dyDescent="0.25">
      <c r="B407" s="27">
        <v>404</v>
      </c>
    </row>
    <row r="408" spans="2:2" x14ac:dyDescent="0.25">
      <c r="B408" s="27">
        <v>405</v>
      </c>
    </row>
    <row r="409" spans="2:2" x14ac:dyDescent="0.25">
      <c r="B409" s="27">
        <v>406</v>
      </c>
    </row>
    <row r="410" spans="2:2" x14ac:dyDescent="0.25">
      <c r="B410" s="27">
        <v>407</v>
      </c>
    </row>
    <row r="411" spans="2:2" x14ac:dyDescent="0.25">
      <c r="B411" s="27">
        <v>408</v>
      </c>
    </row>
    <row r="412" spans="2:2" x14ac:dyDescent="0.25">
      <c r="B412" s="27">
        <v>409</v>
      </c>
    </row>
    <row r="413" spans="2:2" x14ac:dyDescent="0.25">
      <c r="B413" s="27">
        <v>410</v>
      </c>
    </row>
    <row r="414" spans="2:2" x14ac:dyDescent="0.25">
      <c r="B414" s="27">
        <v>411</v>
      </c>
    </row>
    <row r="415" spans="2:2" x14ac:dyDescent="0.25">
      <c r="B415" s="27">
        <v>412</v>
      </c>
    </row>
    <row r="416" spans="2:2" x14ac:dyDescent="0.25">
      <c r="B416" s="27">
        <v>413</v>
      </c>
    </row>
    <row r="417" spans="2:2" x14ac:dyDescent="0.25">
      <c r="B417" s="27">
        <v>414</v>
      </c>
    </row>
    <row r="418" spans="2:2" x14ac:dyDescent="0.25">
      <c r="B418" s="27">
        <v>415</v>
      </c>
    </row>
    <row r="419" spans="2:2" x14ac:dyDescent="0.25">
      <c r="B419" s="27">
        <v>416</v>
      </c>
    </row>
    <row r="420" spans="2:2" x14ac:dyDescent="0.25">
      <c r="B420" s="27">
        <v>417</v>
      </c>
    </row>
    <row r="421" spans="2:2" x14ac:dyDescent="0.25">
      <c r="B421" s="27">
        <v>418</v>
      </c>
    </row>
    <row r="422" spans="2:2" x14ac:dyDescent="0.25">
      <c r="B422" s="27">
        <v>419</v>
      </c>
    </row>
    <row r="423" spans="2:2" x14ac:dyDescent="0.25">
      <c r="B423" s="27">
        <v>420</v>
      </c>
    </row>
    <row r="424" spans="2:2" x14ac:dyDescent="0.25">
      <c r="B424" s="27">
        <v>421</v>
      </c>
    </row>
    <row r="425" spans="2:2" x14ac:dyDescent="0.25">
      <c r="B425" s="27">
        <v>422</v>
      </c>
    </row>
    <row r="426" spans="2:2" x14ac:dyDescent="0.25">
      <c r="B426" s="27">
        <v>423</v>
      </c>
    </row>
    <row r="427" spans="2:2" x14ac:dyDescent="0.25">
      <c r="B427" s="27">
        <v>424</v>
      </c>
    </row>
    <row r="428" spans="2:2" x14ac:dyDescent="0.25">
      <c r="B428" s="27">
        <v>425</v>
      </c>
    </row>
    <row r="429" spans="2:2" x14ac:dyDescent="0.25">
      <c r="B429" s="27">
        <v>426</v>
      </c>
    </row>
    <row r="430" spans="2:2" x14ac:dyDescent="0.25">
      <c r="B430" s="27">
        <v>427</v>
      </c>
    </row>
    <row r="431" spans="2:2" x14ac:dyDescent="0.25">
      <c r="B431" s="27">
        <v>428</v>
      </c>
    </row>
    <row r="432" spans="2:2" x14ac:dyDescent="0.25">
      <c r="B432" s="27">
        <v>429</v>
      </c>
    </row>
    <row r="433" spans="2:2" x14ac:dyDescent="0.25">
      <c r="B433" s="27">
        <v>430</v>
      </c>
    </row>
    <row r="434" spans="2:2" x14ac:dyDescent="0.25">
      <c r="B434" s="27">
        <v>431</v>
      </c>
    </row>
    <row r="435" spans="2:2" x14ac:dyDescent="0.25">
      <c r="B435" s="27">
        <v>432</v>
      </c>
    </row>
    <row r="436" spans="2:2" x14ac:dyDescent="0.25">
      <c r="B436" s="27">
        <v>433</v>
      </c>
    </row>
    <row r="437" spans="2:2" x14ac:dyDescent="0.25">
      <c r="B437" s="27">
        <v>434</v>
      </c>
    </row>
    <row r="438" spans="2:2" x14ac:dyDescent="0.25">
      <c r="B438" s="27">
        <v>435</v>
      </c>
    </row>
    <row r="439" spans="2:2" x14ac:dyDescent="0.25">
      <c r="B439" s="27">
        <v>436</v>
      </c>
    </row>
    <row r="440" spans="2:2" x14ac:dyDescent="0.25">
      <c r="B440" s="27">
        <v>437</v>
      </c>
    </row>
    <row r="441" spans="2:2" x14ac:dyDescent="0.25">
      <c r="B441" s="27">
        <v>438</v>
      </c>
    </row>
    <row r="442" spans="2:2" x14ac:dyDescent="0.25">
      <c r="B442" s="27">
        <v>439</v>
      </c>
    </row>
    <row r="443" spans="2:2" x14ac:dyDescent="0.25">
      <c r="B443" s="27">
        <v>440</v>
      </c>
    </row>
    <row r="444" spans="2:2" x14ac:dyDescent="0.25">
      <c r="B444" s="27">
        <v>441</v>
      </c>
    </row>
    <row r="445" spans="2:2" x14ac:dyDescent="0.25">
      <c r="B445" s="27">
        <v>442</v>
      </c>
    </row>
    <row r="446" spans="2:2" x14ac:dyDescent="0.25">
      <c r="B446" s="27">
        <v>443</v>
      </c>
    </row>
    <row r="447" spans="2:2" x14ac:dyDescent="0.25">
      <c r="B447" s="27">
        <v>444</v>
      </c>
    </row>
    <row r="448" spans="2:2" x14ac:dyDescent="0.25">
      <c r="B448" s="27">
        <v>445</v>
      </c>
    </row>
    <row r="449" spans="2:2" x14ac:dyDescent="0.25">
      <c r="B449" s="27">
        <v>446</v>
      </c>
    </row>
    <row r="450" spans="2:2" x14ac:dyDescent="0.25">
      <c r="B450" s="27">
        <v>447</v>
      </c>
    </row>
    <row r="451" spans="2:2" x14ac:dyDescent="0.25">
      <c r="B451" s="27">
        <v>448</v>
      </c>
    </row>
    <row r="452" spans="2:2" x14ac:dyDescent="0.25">
      <c r="B452" s="27">
        <v>449</v>
      </c>
    </row>
    <row r="453" spans="2:2" x14ac:dyDescent="0.25">
      <c r="B453" s="27">
        <v>450</v>
      </c>
    </row>
    <row r="454" spans="2:2" x14ac:dyDescent="0.25">
      <c r="B454" s="27">
        <v>451</v>
      </c>
    </row>
    <row r="455" spans="2:2" x14ac:dyDescent="0.25">
      <c r="B455" s="27">
        <v>452</v>
      </c>
    </row>
    <row r="456" spans="2:2" x14ac:dyDescent="0.25">
      <c r="B456" s="27">
        <v>453</v>
      </c>
    </row>
    <row r="457" spans="2:2" x14ac:dyDescent="0.25">
      <c r="B457" s="27">
        <v>454</v>
      </c>
    </row>
    <row r="458" spans="2:2" x14ac:dyDescent="0.25">
      <c r="B458" s="27">
        <v>455</v>
      </c>
    </row>
    <row r="459" spans="2:2" x14ac:dyDescent="0.25">
      <c r="B459" s="27">
        <v>456</v>
      </c>
    </row>
    <row r="460" spans="2:2" x14ac:dyDescent="0.25">
      <c r="B460" s="27">
        <v>457</v>
      </c>
    </row>
    <row r="461" spans="2:2" x14ac:dyDescent="0.25">
      <c r="B461" s="27">
        <v>458</v>
      </c>
    </row>
    <row r="462" spans="2:2" x14ac:dyDescent="0.25">
      <c r="B462" s="27">
        <v>459</v>
      </c>
    </row>
    <row r="463" spans="2:2" x14ac:dyDescent="0.25">
      <c r="B463" s="27">
        <v>460</v>
      </c>
    </row>
    <row r="464" spans="2:2" x14ac:dyDescent="0.25">
      <c r="B464" s="27">
        <v>461</v>
      </c>
    </row>
    <row r="465" spans="2:2" x14ac:dyDescent="0.25">
      <c r="B465" s="27">
        <v>462</v>
      </c>
    </row>
    <row r="466" spans="2:2" x14ac:dyDescent="0.25">
      <c r="B466" s="27">
        <v>463</v>
      </c>
    </row>
    <row r="467" spans="2:2" x14ac:dyDescent="0.25">
      <c r="B467" s="27">
        <v>464</v>
      </c>
    </row>
    <row r="468" spans="2:2" x14ac:dyDescent="0.25">
      <c r="B468" s="27">
        <v>465</v>
      </c>
    </row>
    <row r="469" spans="2:2" x14ac:dyDescent="0.25">
      <c r="B469" s="27">
        <v>466</v>
      </c>
    </row>
    <row r="470" spans="2:2" x14ac:dyDescent="0.25">
      <c r="B470" s="27">
        <v>467</v>
      </c>
    </row>
    <row r="471" spans="2:2" x14ac:dyDescent="0.25">
      <c r="B471" s="27">
        <v>468</v>
      </c>
    </row>
    <row r="472" spans="2:2" x14ac:dyDescent="0.25">
      <c r="B472" s="27">
        <v>469</v>
      </c>
    </row>
    <row r="473" spans="2:2" x14ac:dyDescent="0.25">
      <c r="B473" s="27">
        <v>470</v>
      </c>
    </row>
    <row r="474" spans="2:2" x14ac:dyDescent="0.25">
      <c r="B474" s="27">
        <v>471</v>
      </c>
    </row>
    <row r="475" spans="2:2" x14ac:dyDescent="0.25">
      <c r="B475" s="27">
        <v>472</v>
      </c>
    </row>
    <row r="476" spans="2:2" x14ac:dyDescent="0.25">
      <c r="B476" s="27">
        <v>473</v>
      </c>
    </row>
    <row r="477" spans="2:2" x14ac:dyDescent="0.25">
      <c r="B477" s="27">
        <v>474</v>
      </c>
    </row>
    <row r="478" spans="2:2" x14ac:dyDescent="0.25">
      <c r="B478" s="27">
        <v>475</v>
      </c>
    </row>
    <row r="479" spans="2:2" x14ac:dyDescent="0.25">
      <c r="B479" s="27">
        <v>476</v>
      </c>
    </row>
    <row r="480" spans="2:2" x14ac:dyDescent="0.25">
      <c r="B480" s="27">
        <v>477</v>
      </c>
    </row>
    <row r="481" spans="2:2" x14ac:dyDescent="0.25">
      <c r="B481" s="27">
        <v>478</v>
      </c>
    </row>
    <row r="482" spans="2:2" x14ac:dyDescent="0.25">
      <c r="B482" s="27">
        <v>479</v>
      </c>
    </row>
    <row r="483" spans="2:2" x14ac:dyDescent="0.25">
      <c r="B483" s="27">
        <v>480</v>
      </c>
    </row>
    <row r="484" spans="2:2" x14ac:dyDescent="0.25">
      <c r="B484" s="27">
        <v>481</v>
      </c>
    </row>
    <row r="485" spans="2:2" x14ac:dyDescent="0.25">
      <c r="B485" s="27">
        <v>482</v>
      </c>
    </row>
    <row r="486" spans="2:2" x14ac:dyDescent="0.25">
      <c r="B486" s="27">
        <v>483</v>
      </c>
    </row>
    <row r="487" spans="2:2" x14ac:dyDescent="0.25">
      <c r="B487" s="27">
        <v>484</v>
      </c>
    </row>
    <row r="488" spans="2:2" x14ac:dyDescent="0.25">
      <c r="B488" s="27">
        <v>485</v>
      </c>
    </row>
    <row r="489" spans="2:2" x14ac:dyDescent="0.25">
      <c r="B489" s="27">
        <v>486</v>
      </c>
    </row>
    <row r="490" spans="2:2" x14ac:dyDescent="0.25">
      <c r="B490" s="27">
        <v>487</v>
      </c>
    </row>
    <row r="491" spans="2:2" x14ac:dyDescent="0.25">
      <c r="B491" s="27">
        <v>488</v>
      </c>
    </row>
    <row r="492" spans="2:2" x14ac:dyDescent="0.25">
      <c r="B492" s="27">
        <v>489</v>
      </c>
    </row>
    <row r="493" spans="2:2" x14ac:dyDescent="0.25">
      <c r="B493" s="27">
        <v>490</v>
      </c>
    </row>
    <row r="494" spans="2:2" x14ac:dyDescent="0.25">
      <c r="B494" s="27">
        <v>491</v>
      </c>
    </row>
    <row r="495" spans="2:2" x14ac:dyDescent="0.25">
      <c r="B495" s="27">
        <v>492</v>
      </c>
    </row>
    <row r="496" spans="2:2" x14ac:dyDescent="0.25">
      <c r="B496" s="27">
        <v>493</v>
      </c>
    </row>
    <row r="497" spans="2:2" x14ac:dyDescent="0.25">
      <c r="B497" s="27">
        <v>494</v>
      </c>
    </row>
    <row r="498" spans="2:2" x14ac:dyDescent="0.25">
      <c r="B498" s="27">
        <v>495</v>
      </c>
    </row>
    <row r="499" spans="2:2" x14ac:dyDescent="0.25">
      <c r="B499" s="27">
        <v>496</v>
      </c>
    </row>
    <row r="500" spans="2:2" x14ac:dyDescent="0.25">
      <c r="B500" s="27">
        <v>497</v>
      </c>
    </row>
    <row r="501" spans="2:2" x14ac:dyDescent="0.25">
      <c r="B501" s="27">
        <v>498</v>
      </c>
    </row>
    <row r="502" spans="2:2" x14ac:dyDescent="0.25">
      <c r="B502" s="27">
        <v>499</v>
      </c>
    </row>
    <row r="503" spans="2:2" x14ac:dyDescent="0.25">
      <c r="B503" s="27">
        <v>500</v>
      </c>
    </row>
    <row r="504" spans="2:2" x14ac:dyDescent="0.25">
      <c r="B504" s="27">
        <v>501</v>
      </c>
    </row>
    <row r="505" spans="2:2" x14ac:dyDescent="0.25">
      <c r="B505" s="27">
        <v>502</v>
      </c>
    </row>
    <row r="506" spans="2:2" x14ac:dyDescent="0.25">
      <c r="B506" s="27">
        <v>503</v>
      </c>
    </row>
    <row r="507" spans="2:2" x14ac:dyDescent="0.25">
      <c r="B507" s="27">
        <v>504</v>
      </c>
    </row>
    <row r="508" spans="2:2" x14ac:dyDescent="0.25">
      <c r="B508" s="27">
        <v>505</v>
      </c>
    </row>
    <row r="509" spans="2:2" x14ac:dyDescent="0.25">
      <c r="B509" s="27">
        <v>506</v>
      </c>
    </row>
    <row r="510" spans="2:2" x14ac:dyDescent="0.25">
      <c r="B510" s="27">
        <v>507</v>
      </c>
    </row>
    <row r="511" spans="2:2" x14ac:dyDescent="0.25">
      <c r="B511" s="27">
        <v>508</v>
      </c>
    </row>
    <row r="512" spans="2:2" x14ac:dyDescent="0.25">
      <c r="B512" s="27">
        <v>509</v>
      </c>
    </row>
    <row r="513" spans="2:2" x14ac:dyDescent="0.25">
      <c r="B513" s="27">
        <v>510</v>
      </c>
    </row>
    <row r="514" spans="2:2" x14ac:dyDescent="0.25">
      <c r="B514" s="27">
        <v>511</v>
      </c>
    </row>
    <row r="515" spans="2:2" x14ac:dyDescent="0.25">
      <c r="B515" s="27">
        <v>512</v>
      </c>
    </row>
    <row r="516" spans="2:2" x14ac:dyDescent="0.25">
      <c r="B516" s="27">
        <v>513</v>
      </c>
    </row>
    <row r="517" spans="2:2" x14ac:dyDescent="0.25">
      <c r="B517" s="27">
        <v>514</v>
      </c>
    </row>
    <row r="518" spans="2:2" x14ac:dyDescent="0.25">
      <c r="B518" s="27">
        <v>515</v>
      </c>
    </row>
    <row r="519" spans="2:2" x14ac:dyDescent="0.25">
      <c r="B519" s="27">
        <v>516</v>
      </c>
    </row>
    <row r="520" spans="2:2" x14ac:dyDescent="0.25">
      <c r="B520" s="27">
        <v>517</v>
      </c>
    </row>
    <row r="521" spans="2:2" x14ac:dyDescent="0.25">
      <c r="B521" s="27">
        <v>518</v>
      </c>
    </row>
    <row r="522" spans="2:2" x14ac:dyDescent="0.25">
      <c r="B522" s="27">
        <v>519</v>
      </c>
    </row>
    <row r="523" spans="2:2" x14ac:dyDescent="0.25">
      <c r="B523" s="27">
        <v>520</v>
      </c>
    </row>
    <row r="524" spans="2:2" x14ac:dyDescent="0.25">
      <c r="B524" s="27">
        <v>521</v>
      </c>
    </row>
    <row r="525" spans="2:2" x14ac:dyDescent="0.25">
      <c r="B525" s="27">
        <v>522</v>
      </c>
    </row>
    <row r="526" spans="2:2" x14ac:dyDescent="0.25">
      <c r="B526" s="27">
        <v>523</v>
      </c>
    </row>
    <row r="527" spans="2:2" x14ac:dyDescent="0.25">
      <c r="B527" s="27">
        <v>524</v>
      </c>
    </row>
    <row r="528" spans="2:2" x14ac:dyDescent="0.25">
      <c r="B528" s="27">
        <v>525</v>
      </c>
    </row>
    <row r="529" spans="2:2" x14ac:dyDescent="0.25">
      <c r="B529" s="27">
        <v>526</v>
      </c>
    </row>
    <row r="530" spans="2:2" x14ac:dyDescent="0.25">
      <c r="B530" s="27">
        <v>527</v>
      </c>
    </row>
    <row r="531" spans="2:2" x14ac:dyDescent="0.25">
      <c r="B531" s="27">
        <v>528</v>
      </c>
    </row>
    <row r="532" spans="2:2" x14ac:dyDescent="0.25">
      <c r="B532" s="27">
        <v>529</v>
      </c>
    </row>
    <row r="533" spans="2:2" x14ac:dyDescent="0.25">
      <c r="B533" s="27">
        <v>530</v>
      </c>
    </row>
    <row r="534" spans="2:2" x14ac:dyDescent="0.25">
      <c r="B534" s="27">
        <v>531</v>
      </c>
    </row>
    <row r="535" spans="2:2" x14ac:dyDescent="0.25">
      <c r="B535" s="27">
        <v>532</v>
      </c>
    </row>
    <row r="536" spans="2:2" x14ac:dyDescent="0.25">
      <c r="B536" s="27">
        <v>533</v>
      </c>
    </row>
    <row r="537" spans="2:2" x14ac:dyDescent="0.25">
      <c r="B537" s="27">
        <v>534</v>
      </c>
    </row>
    <row r="538" spans="2:2" x14ac:dyDescent="0.25">
      <c r="B538" s="27">
        <v>535</v>
      </c>
    </row>
    <row r="539" spans="2:2" x14ac:dyDescent="0.25">
      <c r="B539" s="27">
        <v>536</v>
      </c>
    </row>
    <row r="540" spans="2:2" x14ac:dyDescent="0.25">
      <c r="B540" s="27">
        <v>537</v>
      </c>
    </row>
    <row r="541" spans="2:2" x14ac:dyDescent="0.25">
      <c r="B541" s="27">
        <v>538</v>
      </c>
    </row>
    <row r="542" spans="2:2" x14ac:dyDescent="0.25">
      <c r="B542" s="27">
        <v>539</v>
      </c>
    </row>
    <row r="543" spans="2:2" x14ac:dyDescent="0.25">
      <c r="B543" s="27">
        <v>540</v>
      </c>
    </row>
    <row r="544" spans="2:2" x14ac:dyDescent="0.25">
      <c r="B544" s="27">
        <v>541</v>
      </c>
    </row>
    <row r="545" spans="2:2" x14ac:dyDescent="0.25">
      <c r="B545" s="27">
        <v>542</v>
      </c>
    </row>
    <row r="546" spans="2:2" x14ac:dyDescent="0.25">
      <c r="B546" s="27">
        <v>543</v>
      </c>
    </row>
    <row r="547" spans="2:2" x14ac:dyDescent="0.25">
      <c r="B547" s="27">
        <v>544</v>
      </c>
    </row>
    <row r="548" spans="2:2" x14ac:dyDescent="0.25">
      <c r="B548" s="27">
        <v>545</v>
      </c>
    </row>
    <row r="549" spans="2:2" x14ac:dyDescent="0.25">
      <c r="B549" s="27">
        <v>546</v>
      </c>
    </row>
    <row r="550" spans="2:2" x14ac:dyDescent="0.25">
      <c r="B550" s="27">
        <v>547</v>
      </c>
    </row>
    <row r="551" spans="2:2" x14ac:dyDescent="0.25">
      <c r="B551" s="27">
        <v>548</v>
      </c>
    </row>
    <row r="552" spans="2:2" x14ac:dyDescent="0.25">
      <c r="B552" s="27">
        <v>549</v>
      </c>
    </row>
    <row r="553" spans="2:2" x14ac:dyDescent="0.25">
      <c r="B553" s="27">
        <v>550</v>
      </c>
    </row>
    <row r="554" spans="2:2" x14ac:dyDescent="0.25">
      <c r="B554" s="27">
        <v>551</v>
      </c>
    </row>
    <row r="555" spans="2:2" x14ac:dyDescent="0.25">
      <c r="B555" s="27">
        <v>552</v>
      </c>
    </row>
    <row r="556" spans="2:2" x14ac:dyDescent="0.25">
      <c r="B556" s="27">
        <v>553</v>
      </c>
    </row>
    <row r="557" spans="2:2" x14ac:dyDescent="0.25">
      <c r="B557" s="27">
        <v>554</v>
      </c>
    </row>
    <row r="558" spans="2:2" x14ac:dyDescent="0.25">
      <c r="B558" s="27">
        <v>555</v>
      </c>
    </row>
    <row r="559" spans="2:2" x14ac:dyDescent="0.25">
      <c r="B559" s="27">
        <v>556</v>
      </c>
    </row>
    <row r="560" spans="2:2" x14ac:dyDescent="0.25">
      <c r="B560" s="27">
        <v>557</v>
      </c>
    </row>
    <row r="561" spans="2:2" x14ac:dyDescent="0.25">
      <c r="B561" s="27">
        <v>558</v>
      </c>
    </row>
    <row r="562" spans="2:2" x14ac:dyDescent="0.25">
      <c r="B562" s="27">
        <v>559</v>
      </c>
    </row>
    <row r="563" spans="2:2" x14ac:dyDescent="0.25">
      <c r="B563" s="27">
        <v>560</v>
      </c>
    </row>
    <row r="564" spans="2:2" x14ac:dyDescent="0.25">
      <c r="B564" s="27">
        <v>561</v>
      </c>
    </row>
    <row r="565" spans="2:2" x14ac:dyDescent="0.25">
      <c r="B565" s="27">
        <v>562</v>
      </c>
    </row>
    <row r="566" spans="2:2" x14ac:dyDescent="0.25">
      <c r="B566" s="27">
        <v>563</v>
      </c>
    </row>
    <row r="567" spans="2:2" x14ac:dyDescent="0.25">
      <c r="B567" s="27">
        <v>564</v>
      </c>
    </row>
    <row r="568" spans="2:2" x14ac:dyDescent="0.25">
      <c r="B568" s="27">
        <v>565</v>
      </c>
    </row>
    <row r="569" spans="2:2" x14ac:dyDescent="0.25">
      <c r="B569" s="27">
        <v>566</v>
      </c>
    </row>
    <row r="570" spans="2:2" x14ac:dyDescent="0.25">
      <c r="B570" s="27">
        <v>567</v>
      </c>
    </row>
    <row r="571" spans="2:2" x14ac:dyDescent="0.25">
      <c r="B571" s="27">
        <v>568</v>
      </c>
    </row>
    <row r="572" spans="2:2" x14ac:dyDescent="0.25">
      <c r="B572" s="27">
        <v>569</v>
      </c>
    </row>
    <row r="573" spans="2:2" x14ac:dyDescent="0.25">
      <c r="B573" s="27">
        <v>570</v>
      </c>
    </row>
    <row r="574" spans="2:2" x14ac:dyDescent="0.25">
      <c r="B574" s="27">
        <v>571</v>
      </c>
    </row>
    <row r="575" spans="2:2" x14ac:dyDescent="0.25">
      <c r="B575" s="27">
        <v>572</v>
      </c>
    </row>
    <row r="576" spans="2:2" x14ac:dyDescent="0.25">
      <c r="B576" s="27">
        <v>573</v>
      </c>
    </row>
    <row r="577" spans="2:2" x14ac:dyDescent="0.25">
      <c r="B577" s="27">
        <v>574</v>
      </c>
    </row>
    <row r="578" spans="2:2" x14ac:dyDescent="0.25">
      <c r="B578" s="27">
        <v>575</v>
      </c>
    </row>
    <row r="579" spans="2:2" x14ac:dyDescent="0.25">
      <c r="B579" s="27">
        <v>576</v>
      </c>
    </row>
    <row r="580" spans="2:2" x14ac:dyDescent="0.25">
      <c r="B580" s="27">
        <v>577</v>
      </c>
    </row>
    <row r="581" spans="2:2" x14ac:dyDescent="0.25">
      <c r="B581" s="27">
        <v>578</v>
      </c>
    </row>
    <row r="582" spans="2:2" x14ac:dyDescent="0.25">
      <c r="B582" s="27">
        <v>579</v>
      </c>
    </row>
    <row r="583" spans="2:2" x14ac:dyDescent="0.25">
      <c r="B583" s="27">
        <v>580</v>
      </c>
    </row>
    <row r="584" spans="2:2" x14ac:dyDescent="0.25">
      <c r="B584" s="27">
        <v>581</v>
      </c>
    </row>
    <row r="585" spans="2:2" x14ac:dyDescent="0.25">
      <c r="B585" s="27">
        <v>582</v>
      </c>
    </row>
    <row r="586" spans="2:2" x14ac:dyDescent="0.25">
      <c r="B586" s="27">
        <v>583</v>
      </c>
    </row>
    <row r="587" spans="2:2" x14ac:dyDescent="0.25">
      <c r="B587" s="27">
        <v>584</v>
      </c>
    </row>
    <row r="588" spans="2:2" x14ac:dyDescent="0.25">
      <c r="B588" s="27">
        <v>585</v>
      </c>
    </row>
    <row r="589" spans="2:2" x14ac:dyDescent="0.25">
      <c r="B589" s="27">
        <v>586</v>
      </c>
    </row>
    <row r="590" spans="2:2" x14ac:dyDescent="0.25">
      <c r="B590" s="27">
        <v>587</v>
      </c>
    </row>
    <row r="591" spans="2:2" x14ac:dyDescent="0.25">
      <c r="B591" s="27">
        <v>588</v>
      </c>
    </row>
    <row r="592" spans="2:2" x14ac:dyDescent="0.25">
      <c r="B592" s="27">
        <v>589</v>
      </c>
    </row>
    <row r="593" spans="2:2" x14ac:dyDescent="0.25">
      <c r="B593" s="27">
        <v>590</v>
      </c>
    </row>
    <row r="594" spans="2:2" x14ac:dyDescent="0.25">
      <c r="B594" s="27">
        <v>591</v>
      </c>
    </row>
    <row r="595" spans="2:2" x14ac:dyDescent="0.25">
      <c r="B595" s="27">
        <v>592</v>
      </c>
    </row>
    <row r="596" spans="2:2" x14ac:dyDescent="0.25">
      <c r="B596" s="27">
        <v>593</v>
      </c>
    </row>
    <row r="597" spans="2:2" x14ac:dyDescent="0.25">
      <c r="B597" s="27">
        <v>594</v>
      </c>
    </row>
    <row r="598" spans="2:2" x14ac:dyDescent="0.25">
      <c r="B598" s="27">
        <v>595</v>
      </c>
    </row>
    <row r="599" spans="2:2" x14ac:dyDescent="0.25">
      <c r="B599" s="27">
        <v>596</v>
      </c>
    </row>
    <row r="600" spans="2:2" x14ac:dyDescent="0.25">
      <c r="B600" s="27">
        <v>597</v>
      </c>
    </row>
    <row r="601" spans="2:2" x14ac:dyDescent="0.25">
      <c r="B601" s="27">
        <v>598</v>
      </c>
    </row>
    <row r="602" spans="2:2" x14ac:dyDescent="0.25">
      <c r="B602" s="27">
        <v>599</v>
      </c>
    </row>
    <row r="603" spans="2:2" x14ac:dyDescent="0.25">
      <c r="B603" s="27">
        <v>600</v>
      </c>
    </row>
    <row r="604" spans="2:2" x14ac:dyDescent="0.25">
      <c r="B604" s="27">
        <v>601</v>
      </c>
    </row>
    <row r="605" spans="2:2" x14ac:dyDescent="0.25">
      <c r="B605" s="27">
        <v>602</v>
      </c>
    </row>
    <row r="606" spans="2:2" x14ac:dyDescent="0.25">
      <c r="B606" s="27">
        <v>603</v>
      </c>
    </row>
    <row r="607" spans="2:2" x14ac:dyDescent="0.25">
      <c r="B607" s="27">
        <v>604</v>
      </c>
    </row>
    <row r="608" spans="2:2" x14ac:dyDescent="0.25">
      <c r="B608" s="27">
        <v>605</v>
      </c>
    </row>
    <row r="609" spans="2:2" x14ac:dyDescent="0.25">
      <c r="B609" s="27">
        <v>606</v>
      </c>
    </row>
    <row r="610" spans="2:2" x14ac:dyDescent="0.25">
      <c r="B610" s="27">
        <v>607</v>
      </c>
    </row>
    <row r="611" spans="2:2" x14ac:dyDescent="0.25">
      <c r="B611" s="27">
        <v>608</v>
      </c>
    </row>
    <row r="612" spans="2:2" x14ac:dyDescent="0.25">
      <c r="B612" s="27">
        <v>609</v>
      </c>
    </row>
    <row r="613" spans="2:2" x14ac:dyDescent="0.25">
      <c r="B613" s="27">
        <v>610</v>
      </c>
    </row>
    <row r="614" spans="2:2" x14ac:dyDescent="0.25">
      <c r="B614" s="27">
        <v>611</v>
      </c>
    </row>
    <row r="615" spans="2:2" x14ac:dyDescent="0.25">
      <c r="B615" s="27">
        <v>612</v>
      </c>
    </row>
    <row r="616" spans="2:2" x14ac:dyDescent="0.25">
      <c r="B616" s="27">
        <v>613</v>
      </c>
    </row>
    <row r="617" spans="2:2" x14ac:dyDescent="0.25">
      <c r="B617" s="27">
        <v>614</v>
      </c>
    </row>
    <row r="618" spans="2:2" x14ac:dyDescent="0.25">
      <c r="B618" s="27">
        <v>615</v>
      </c>
    </row>
    <row r="619" spans="2:2" x14ac:dyDescent="0.25">
      <c r="B619" s="27">
        <v>616</v>
      </c>
    </row>
    <row r="620" spans="2:2" x14ac:dyDescent="0.25">
      <c r="B620" s="27">
        <v>617</v>
      </c>
    </row>
    <row r="621" spans="2:2" x14ac:dyDescent="0.25">
      <c r="B621" s="27">
        <v>618</v>
      </c>
    </row>
    <row r="622" spans="2:2" x14ac:dyDescent="0.25">
      <c r="B622" s="27">
        <v>619</v>
      </c>
    </row>
    <row r="623" spans="2:2" x14ac:dyDescent="0.25">
      <c r="B623" s="27">
        <v>620</v>
      </c>
    </row>
    <row r="624" spans="2:2" x14ac:dyDescent="0.25">
      <c r="B624" s="27">
        <v>621</v>
      </c>
    </row>
    <row r="625" spans="2:2" x14ac:dyDescent="0.25">
      <c r="B625" s="27">
        <v>622</v>
      </c>
    </row>
    <row r="626" spans="2:2" x14ac:dyDescent="0.25">
      <c r="B626" s="27">
        <v>623</v>
      </c>
    </row>
    <row r="627" spans="2:2" x14ac:dyDescent="0.25">
      <c r="B627" s="27">
        <v>624</v>
      </c>
    </row>
    <row r="628" spans="2:2" x14ac:dyDescent="0.25">
      <c r="B628" s="27">
        <v>625</v>
      </c>
    </row>
    <row r="629" spans="2:2" x14ac:dyDescent="0.25">
      <c r="B629" s="27">
        <v>626</v>
      </c>
    </row>
    <row r="630" spans="2:2" x14ac:dyDescent="0.25">
      <c r="B630" s="27">
        <v>627</v>
      </c>
    </row>
    <row r="631" spans="2:2" x14ac:dyDescent="0.25">
      <c r="B631" s="27">
        <v>628</v>
      </c>
    </row>
    <row r="632" spans="2:2" x14ac:dyDescent="0.25">
      <c r="B632" s="27">
        <v>629</v>
      </c>
    </row>
    <row r="633" spans="2:2" x14ac:dyDescent="0.25">
      <c r="B633" s="27">
        <v>630</v>
      </c>
    </row>
    <row r="634" spans="2:2" x14ac:dyDescent="0.25">
      <c r="B634" s="27">
        <v>631</v>
      </c>
    </row>
    <row r="635" spans="2:2" x14ac:dyDescent="0.25">
      <c r="B635" s="27">
        <v>632</v>
      </c>
    </row>
    <row r="636" spans="2:2" x14ac:dyDescent="0.25">
      <c r="B636" s="27">
        <v>633</v>
      </c>
    </row>
    <row r="637" spans="2:2" x14ac:dyDescent="0.25">
      <c r="B637" s="27">
        <v>634</v>
      </c>
    </row>
    <row r="638" spans="2:2" x14ac:dyDescent="0.25">
      <c r="B638" s="27">
        <v>635</v>
      </c>
    </row>
    <row r="639" spans="2:2" x14ac:dyDescent="0.25">
      <c r="B639" s="27">
        <v>636</v>
      </c>
    </row>
    <row r="640" spans="2:2" x14ac:dyDescent="0.25">
      <c r="B640" s="27">
        <v>637</v>
      </c>
    </row>
    <row r="641" spans="2:2" x14ac:dyDescent="0.25">
      <c r="B641" s="27">
        <v>638</v>
      </c>
    </row>
    <row r="642" spans="2:2" x14ac:dyDescent="0.25">
      <c r="B642" s="27">
        <v>639</v>
      </c>
    </row>
    <row r="643" spans="2:2" x14ac:dyDescent="0.25">
      <c r="B643" s="27">
        <v>640</v>
      </c>
    </row>
    <row r="644" spans="2:2" x14ac:dyDescent="0.25">
      <c r="B644" s="27">
        <v>641</v>
      </c>
    </row>
    <row r="645" spans="2:2" x14ac:dyDescent="0.25">
      <c r="B645" s="27">
        <v>642</v>
      </c>
    </row>
    <row r="646" spans="2:2" x14ac:dyDescent="0.25">
      <c r="B646" s="27">
        <v>643</v>
      </c>
    </row>
    <row r="647" spans="2:2" x14ac:dyDescent="0.25">
      <c r="B647" s="27">
        <v>644</v>
      </c>
    </row>
    <row r="648" spans="2:2" x14ac:dyDescent="0.25">
      <c r="B648" s="27">
        <v>645</v>
      </c>
    </row>
    <row r="649" spans="2:2" x14ac:dyDescent="0.25">
      <c r="B649" s="27">
        <v>646</v>
      </c>
    </row>
    <row r="650" spans="2:2" x14ac:dyDescent="0.25">
      <c r="B650" s="27">
        <v>647</v>
      </c>
    </row>
    <row r="651" spans="2:2" x14ac:dyDescent="0.25">
      <c r="B651" s="27">
        <v>648</v>
      </c>
    </row>
    <row r="652" spans="2:2" x14ac:dyDescent="0.25">
      <c r="B652" s="27">
        <v>649</v>
      </c>
    </row>
    <row r="653" spans="2:2" x14ac:dyDescent="0.25">
      <c r="B653" s="27">
        <v>650</v>
      </c>
    </row>
    <row r="654" spans="2:2" x14ac:dyDescent="0.25">
      <c r="B654" s="27">
        <v>651</v>
      </c>
    </row>
    <row r="655" spans="2:2" x14ac:dyDescent="0.25">
      <c r="B655" s="27">
        <v>652</v>
      </c>
    </row>
    <row r="656" spans="2:2" x14ac:dyDescent="0.25">
      <c r="B656" s="27">
        <v>653</v>
      </c>
    </row>
    <row r="657" spans="2:2" x14ac:dyDescent="0.25">
      <c r="B657" s="27">
        <v>654</v>
      </c>
    </row>
    <row r="658" spans="2:2" x14ac:dyDescent="0.25">
      <c r="B658" s="27">
        <v>655</v>
      </c>
    </row>
    <row r="659" spans="2:2" x14ac:dyDescent="0.25">
      <c r="B659" s="27">
        <v>656</v>
      </c>
    </row>
    <row r="660" spans="2:2" x14ac:dyDescent="0.25">
      <c r="B660" s="27">
        <v>657</v>
      </c>
    </row>
    <row r="661" spans="2:2" x14ac:dyDescent="0.25">
      <c r="B661" s="27">
        <v>658</v>
      </c>
    </row>
    <row r="662" spans="2:2" x14ac:dyDescent="0.25">
      <c r="B662" s="27">
        <v>659</v>
      </c>
    </row>
    <row r="663" spans="2:2" x14ac:dyDescent="0.25">
      <c r="B663" s="27">
        <v>660</v>
      </c>
    </row>
    <row r="664" spans="2:2" x14ac:dyDescent="0.25">
      <c r="B664" s="27">
        <v>661</v>
      </c>
    </row>
    <row r="665" spans="2:2" x14ac:dyDescent="0.25">
      <c r="B665" s="27">
        <v>662</v>
      </c>
    </row>
    <row r="666" spans="2:2" x14ac:dyDescent="0.25">
      <c r="B666" s="27">
        <v>663</v>
      </c>
    </row>
    <row r="667" spans="2:2" x14ac:dyDescent="0.25">
      <c r="B667" s="27">
        <v>664</v>
      </c>
    </row>
    <row r="668" spans="2:2" x14ac:dyDescent="0.25">
      <c r="B668" s="27">
        <v>665</v>
      </c>
    </row>
    <row r="669" spans="2:2" x14ac:dyDescent="0.25">
      <c r="B669" s="27">
        <v>666</v>
      </c>
    </row>
    <row r="670" spans="2:2" x14ac:dyDescent="0.25">
      <c r="B670" s="27">
        <v>667</v>
      </c>
    </row>
    <row r="671" spans="2:2" x14ac:dyDescent="0.25">
      <c r="B671" s="27">
        <v>668</v>
      </c>
    </row>
    <row r="672" spans="2:2" x14ac:dyDescent="0.25">
      <c r="B672" s="27">
        <v>669</v>
      </c>
    </row>
    <row r="673" spans="2:2" x14ac:dyDescent="0.25">
      <c r="B673" s="27">
        <v>670</v>
      </c>
    </row>
    <row r="674" spans="2:2" x14ac:dyDescent="0.25">
      <c r="B674" s="27">
        <v>671</v>
      </c>
    </row>
    <row r="675" spans="2:2" x14ac:dyDescent="0.25">
      <c r="B675" s="27">
        <v>672</v>
      </c>
    </row>
    <row r="676" spans="2:2" x14ac:dyDescent="0.25">
      <c r="B676" s="27">
        <v>673</v>
      </c>
    </row>
    <row r="677" spans="2:2" x14ac:dyDescent="0.25">
      <c r="B677" s="27">
        <v>674</v>
      </c>
    </row>
    <row r="678" spans="2:2" x14ac:dyDescent="0.25">
      <c r="B678" s="27">
        <v>675</v>
      </c>
    </row>
    <row r="679" spans="2:2" x14ac:dyDescent="0.25">
      <c r="B679" s="27">
        <v>676</v>
      </c>
    </row>
    <row r="680" spans="2:2" x14ac:dyDescent="0.25">
      <c r="B680" s="27">
        <v>677</v>
      </c>
    </row>
    <row r="681" spans="2:2" x14ac:dyDescent="0.25">
      <c r="B681" s="27">
        <v>678</v>
      </c>
    </row>
    <row r="682" spans="2:2" x14ac:dyDescent="0.25">
      <c r="B682" s="27">
        <v>679</v>
      </c>
    </row>
    <row r="683" spans="2:2" x14ac:dyDescent="0.25">
      <c r="B683" s="27">
        <v>680</v>
      </c>
    </row>
    <row r="684" spans="2:2" x14ac:dyDescent="0.25">
      <c r="B684" s="27">
        <v>681</v>
      </c>
    </row>
    <row r="685" spans="2:2" x14ac:dyDescent="0.25">
      <c r="B685" s="27">
        <v>682</v>
      </c>
    </row>
    <row r="686" spans="2:2" x14ac:dyDescent="0.25">
      <c r="B686" s="27">
        <v>683</v>
      </c>
    </row>
    <row r="687" spans="2:2" x14ac:dyDescent="0.25">
      <c r="B687" s="27">
        <v>684</v>
      </c>
    </row>
    <row r="688" spans="2:2" x14ac:dyDescent="0.25">
      <c r="B688" s="27">
        <v>685</v>
      </c>
    </row>
    <row r="689" spans="2:2" x14ac:dyDescent="0.25">
      <c r="B689" s="27">
        <v>686</v>
      </c>
    </row>
    <row r="690" spans="2:2" x14ac:dyDescent="0.25">
      <c r="B690" s="27">
        <v>687</v>
      </c>
    </row>
    <row r="691" spans="2:2" x14ac:dyDescent="0.25">
      <c r="B691" s="27">
        <v>688</v>
      </c>
    </row>
    <row r="692" spans="2:2" x14ac:dyDescent="0.25">
      <c r="B692" s="27">
        <v>689</v>
      </c>
    </row>
    <row r="693" spans="2:2" x14ac:dyDescent="0.25">
      <c r="B693" s="27">
        <v>690</v>
      </c>
    </row>
    <row r="694" spans="2:2" x14ac:dyDescent="0.25">
      <c r="B694" s="27">
        <v>691</v>
      </c>
    </row>
    <row r="695" spans="2:2" x14ac:dyDescent="0.25">
      <c r="B695" s="27">
        <v>692</v>
      </c>
    </row>
    <row r="696" spans="2:2" x14ac:dyDescent="0.25">
      <c r="B696" s="27">
        <v>693</v>
      </c>
    </row>
    <row r="697" spans="2:2" x14ac:dyDescent="0.25">
      <c r="B697" s="27">
        <v>694</v>
      </c>
    </row>
    <row r="698" spans="2:2" x14ac:dyDescent="0.25">
      <c r="B698" s="27">
        <v>695</v>
      </c>
    </row>
    <row r="699" spans="2:2" x14ac:dyDescent="0.25">
      <c r="B699" s="27">
        <v>696</v>
      </c>
    </row>
    <row r="700" spans="2:2" x14ac:dyDescent="0.25">
      <c r="B700" s="27">
        <v>697</v>
      </c>
    </row>
    <row r="701" spans="2:2" x14ac:dyDescent="0.25">
      <c r="B701" s="27">
        <v>698</v>
      </c>
    </row>
    <row r="702" spans="2:2" x14ac:dyDescent="0.25">
      <c r="B702" s="27">
        <v>699</v>
      </c>
    </row>
    <row r="703" spans="2:2" x14ac:dyDescent="0.25">
      <c r="B703" s="27">
        <v>700</v>
      </c>
    </row>
    <row r="704" spans="2:2" x14ac:dyDescent="0.25">
      <c r="B704" s="27">
        <v>701</v>
      </c>
    </row>
    <row r="705" spans="2:2" x14ac:dyDescent="0.25">
      <c r="B705" s="27">
        <v>702</v>
      </c>
    </row>
    <row r="706" spans="2:2" x14ac:dyDescent="0.25">
      <c r="B706" s="27">
        <v>703</v>
      </c>
    </row>
    <row r="707" spans="2:2" x14ac:dyDescent="0.25">
      <c r="B707" s="27">
        <v>704</v>
      </c>
    </row>
    <row r="708" spans="2:2" x14ac:dyDescent="0.25">
      <c r="B708" s="27">
        <v>705</v>
      </c>
    </row>
    <row r="709" spans="2:2" x14ac:dyDescent="0.25">
      <c r="B709" s="27">
        <v>706</v>
      </c>
    </row>
    <row r="710" spans="2:2" x14ac:dyDescent="0.25">
      <c r="B710" s="27">
        <v>707</v>
      </c>
    </row>
    <row r="711" spans="2:2" x14ac:dyDescent="0.25">
      <c r="B711" s="27">
        <v>708</v>
      </c>
    </row>
    <row r="712" spans="2:2" x14ac:dyDescent="0.25">
      <c r="B712" s="27">
        <v>709</v>
      </c>
    </row>
    <row r="713" spans="2:2" x14ac:dyDescent="0.25">
      <c r="B713" s="27">
        <v>710</v>
      </c>
    </row>
    <row r="714" spans="2:2" x14ac:dyDescent="0.25">
      <c r="B714" s="27">
        <v>711</v>
      </c>
    </row>
    <row r="715" spans="2:2" x14ac:dyDescent="0.25">
      <c r="B715" s="27">
        <v>712</v>
      </c>
    </row>
    <row r="716" spans="2:2" x14ac:dyDescent="0.25">
      <c r="B716" s="27">
        <v>713</v>
      </c>
    </row>
    <row r="717" spans="2:2" x14ac:dyDescent="0.25">
      <c r="B717" s="27">
        <v>714</v>
      </c>
    </row>
    <row r="718" spans="2:2" x14ac:dyDescent="0.25">
      <c r="B718" s="27">
        <v>715</v>
      </c>
    </row>
    <row r="719" spans="2:2" x14ac:dyDescent="0.25">
      <c r="B719" s="27">
        <v>716</v>
      </c>
    </row>
    <row r="720" spans="2:2" x14ac:dyDescent="0.25">
      <c r="B720" s="27">
        <v>717</v>
      </c>
    </row>
    <row r="721" spans="2:2" x14ac:dyDescent="0.25">
      <c r="B721" s="27">
        <v>718</v>
      </c>
    </row>
    <row r="722" spans="2:2" x14ac:dyDescent="0.25">
      <c r="B722" s="27">
        <v>719</v>
      </c>
    </row>
    <row r="723" spans="2:2" x14ac:dyDescent="0.25">
      <c r="B723" s="27">
        <v>720</v>
      </c>
    </row>
    <row r="724" spans="2:2" x14ac:dyDescent="0.25">
      <c r="B724" s="27">
        <v>721</v>
      </c>
    </row>
    <row r="725" spans="2:2" x14ac:dyDescent="0.25">
      <c r="B725" s="27">
        <v>722</v>
      </c>
    </row>
    <row r="726" spans="2:2" x14ac:dyDescent="0.25">
      <c r="B726" s="27">
        <v>723</v>
      </c>
    </row>
    <row r="727" spans="2:2" x14ac:dyDescent="0.25">
      <c r="B727" s="27">
        <v>724</v>
      </c>
    </row>
    <row r="728" spans="2:2" x14ac:dyDescent="0.25">
      <c r="B728" s="27">
        <v>725</v>
      </c>
    </row>
    <row r="729" spans="2:2" x14ac:dyDescent="0.25">
      <c r="B729" s="27">
        <v>726</v>
      </c>
    </row>
    <row r="730" spans="2:2" x14ac:dyDescent="0.25">
      <c r="B730" s="27">
        <v>727</v>
      </c>
    </row>
    <row r="731" spans="2:2" x14ac:dyDescent="0.25">
      <c r="B731" s="27">
        <v>728</v>
      </c>
    </row>
    <row r="732" spans="2:2" x14ac:dyDescent="0.25">
      <c r="B732" s="27">
        <v>729</v>
      </c>
    </row>
    <row r="733" spans="2:2" x14ac:dyDescent="0.25">
      <c r="B733" s="27">
        <v>730</v>
      </c>
    </row>
    <row r="734" spans="2:2" x14ac:dyDescent="0.25">
      <c r="B734" s="27">
        <v>731</v>
      </c>
    </row>
    <row r="735" spans="2:2" x14ac:dyDescent="0.25">
      <c r="B735" s="27">
        <v>732</v>
      </c>
    </row>
    <row r="736" spans="2:2" x14ac:dyDescent="0.25">
      <c r="B736" s="27">
        <v>733</v>
      </c>
    </row>
    <row r="737" spans="2:2" x14ac:dyDescent="0.25">
      <c r="B737" s="27">
        <v>734</v>
      </c>
    </row>
    <row r="738" spans="2:2" x14ac:dyDescent="0.25">
      <c r="B738" s="27">
        <v>735</v>
      </c>
    </row>
    <row r="739" spans="2:2" x14ac:dyDescent="0.25">
      <c r="B739" s="27">
        <v>736</v>
      </c>
    </row>
    <row r="740" spans="2:2" x14ac:dyDescent="0.25">
      <c r="B740" s="27">
        <v>737</v>
      </c>
    </row>
    <row r="741" spans="2:2" x14ac:dyDescent="0.25">
      <c r="B741" s="27">
        <v>738</v>
      </c>
    </row>
    <row r="742" spans="2:2" x14ac:dyDescent="0.25">
      <c r="B742" s="27">
        <v>739</v>
      </c>
    </row>
    <row r="743" spans="2:2" x14ac:dyDescent="0.25">
      <c r="B743" s="27">
        <v>740</v>
      </c>
    </row>
    <row r="744" spans="2:2" x14ac:dyDescent="0.25">
      <c r="B744" s="27">
        <v>741</v>
      </c>
    </row>
    <row r="745" spans="2:2" x14ac:dyDescent="0.25">
      <c r="B745" s="27">
        <v>742</v>
      </c>
    </row>
    <row r="746" spans="2:2" x14ac:dyDescent="0.25">
      <c r="B746" s="27">
        <v>743</v>
      </c>
    </row>
    <row r="747" spans="2:2" x14ac:dyDescent="0.25">
      <c r="B747" s="27">
        <v>744</v>
      </c>
    </row>
    <row r="748" spans="2:2" x14ac:dyDescent="0.25">
      <c r="B748" s="27">
        <v>745</v>
      </c>
    </row>
    <row r="749" spans="2:2" x14ac:dyDescent="0.25">
      <c r="B749" s="27">
        <v>746</v>
      </c>
    </row>
    <row r="750" spans="2:2" x14ac:dyDescent="0.25">
      <c r="B750" s="27">
        <v>747</v>
      </c>
    </row>
    <row r="751" spans="2:2" x14ac:dyDescent="0.25">
      <c r="B751" s="27">
        <v>748</v>
      </c>
    </row>
    <row r="752" spans="2:2" x14ac:dyDescent="0.25">
      <c r="B752" s="27">
        <v>749</v>
      </c>
    </row>
    <row r="753" spans="2:2" x14ac:dyDescent="0.25">
      <c r="B753" s="27">
        <v>750</v>
      </c>
    </row>
    <row r="754" spans="2:2" x14ac:dyDescent="0.25">
      <c r="B754" s="27">
        <v>751</v>
      </c>
    </row>
    <row r="755" spans="2:2" x14ac:dyDescent="0.25">
      <c r="B755" s="27">
        <v>752</v>
      </c>
    </row>
    <row r="756" spans="2:2" x14ac:dyDescent="0.25">
      <c r="B756" s="27">
        <v>753</v>
      </c>
    </row>
    <row r="757" spans="2:2" x14ac:dyDescent="0.25">
      <c r="B757" s="27">
        <v>754</v>
      </c>
    </row>
    <row r="758" spans="2:2" x14ac:dyDescent="0.25">
      <c r="B758" s="27">
        <v>755</v>
      </c>
    </row>
    <row r="759" spans="2:2" x14ac:dyDescent="0.25">
      <c r="B759" s="27">
        <v>756</v>
      </c>
    </row>
    <row r="760" spans="2:2" x14ac:dyDescent="0.25">
      <c r="B760" s="27">
        <v>757</v>
      </c>
    </row>
    <row r="761" spans="2:2" x14ac:dyDescent="0.25">
      <c r="B761" s="27">
        <v>758</v>
      </c>
    </row>
    <row r="762" spans="2:2" x14ac:dyDescent="0.25">
      <c r="B762" s="27">
        <v>759</v>
      </c>
    </row>
    <row r="763" spans="2:2" x14ac:dyDescent="0.25">
      <c r="B763" s="27">
        <v>760</v>
      </c>
    </row>
    <row r="764" spans="2:2" x14ac:dyDescent="0.25">
      <c r="B764" s="27">
        <v>761</v>
      </c>
    </row>
    <row r="765" spans="2:2" x14ac:dyDescent="0.25">
      <c r="B765" s="27">
        <v>762</v>
      </c>
    </row>
    <row r="766" spans="2:2" x14ac:dyDescent="0.25">
      <c r="B766" s="27">
        <v>763</v>
      </c>
    </row>
    <row r="767" spans="2:2" x14ac:dyDescent="0.25">
      <c r="B767" s="27">
        <v>764</v>
      </c>
    </row>
    <row r="768" spans="2:2" x14ac:dyDescent="0.25">
      <c r="B768" s="27">
        <v>765</v>
      </c>
    </row>
    <row r="769" spans="2:2" x14ac:dyDescent="0.25">
      <c r="B769" s="27">
        <v>766</v>
      </c>
    </row>
    <row r="770" spans="2:2" x14ac:dyDescent="0.25">
      <c r="B770" s="27">
        <v>767</v>
      </c>
    </row>
    <row r="771" spans="2:2" x14ac:dyDescent="0.25">
      <c r="B771" s="27">
        <v>768</v>
      </c>
    </row>
    <row r="772" spans="2:2" x14ac:dyDescent="0.25">
      <c r="B772" s="27">
        <v>769</v>
      </c>
    </row>
    <row r="773" spans="2:2" x14ac:dyDescent="0.25">
      <c r="B773" s="27">
        <v>770</v>
      </c>
    </row>
    <row r="774" spans="2:2" x14ac:dyDescent="0.25">
      <c r="B774" s="27">
        <v>771</v>
      </c>
    </row>
    <row r="775" spans="2:2" x14ac:dyDescent="0.25">
      <c r="B775" s="27">
        <v>772</v>
      </c>
    </row>
    <row r="776" spans="2:2" x14ac:dyDescent="0.25">
      <c r="B776" s="27">
        <v>773</v>
      </c>
    </row>
    <row r="777" spans="2:2" x14ac:dyDescent="0.25">
      <c r="B777" s="27">
        <v>774</v>
      </c>
    </row>
    <row r="778" spans="2:2" x14ac:dyDescent="0.25">
      <c r="B778" s="27">
        <v>775</v>
      </c>
    </row>
    <row r="779" spans="2:2" x14ac:dyDescent="0.25">
      <c r="B779" s="27">
        <v>776</v>
      </c>
    </row>
    <row r="780" spans="2:2" x14ac:dyDescent="0.25">
      <c r="B780" s="27">
        <v>777</v>
      </c>
    </row>
    <row r="781" spans="2:2" x14ac:dyDescent="0.25">
      <c r="B781" s="27">
        <v>778</v>
      </c>
    </row>
    <row r="782" spans="2:2" x14ac:dyDescent="0.25">
      <c r="B782" s="27">
        <v>779</v>
      </c>
    </row>
    <row r="783" spans="2:2" x14ac:dyDescent="0.25">
      <c r="B783" s="27">
        <v>780</v>
      </c>
    </row>
    <row r="784" spans="2:2" x14ac:dyDescent="0.25">
      <c r="B784" s="27">
        <v>781</v>
      </c>
    </row>
    <row r="785" spans="2:2" x14ac:dyDescent="0.25">
      <c r="B785" s="27">
        <v>782</v>
      </c>
    </row>
    <row r="786" spans="2:2" x14ac:dyDescent="0.25">
      <c r="B786" s="27">
        <v>783</v>
      </c>
    </row>
    <row r="787" spans="2:2" x14ac:dyDescent="0.25">
      <c r="B787" s="27">
        <v>784</v>
      </c>
    </row>
    <row r="788" spans="2:2" x14ac:dyDescent="0.25">
      <c r="B788" s="27">
        <v>785</v>
      </c>
    </row>
    <row r="789" spans="2:2" x14ac:dyDescent="0.25">
      <c r="B789" s="27">
        <v>786</v>
      </c>
    </row>
    <row r="790" spans="2:2" x14ac:dyDescent="0.25">
      <c r="B790" s="27">
        <v>787</v>
      </c>
    </row>
    <row r="791" spans="2:2" x14ac:dyDescent="0.25">
      <c r="B791" s="27">
        <v>788</v>
      </c>
    </row>
    <row r="792" spans="2:2" x14ac:dyDescent="0.25">
      <c r="B792" s="27">
        <v>789</v>
      </c>
    </row>
    <row r="793" spans="2:2" x14ac:dyDescent="0.25">
      <c r="B793" s="27">
        <v>790</v>
      </c>
    </row>
    <row r="794" spans="2:2" x14ac:dyDescent="0.25">
      <c r="B794" s="27">
        <v>791</v>
      </c>
    </row>
    <row r="795" spans="2:2" x14ac:dyDescent="0.25">
      <c r="B795" s="27">
        <v>792</v>
      </c>
    </row>
    <row r="796" spans="2:2" x14ac:dyDescent="0.25">
      <c r="B796" s="27">
        <v>793</v>
      </c>
    </row>
    <row r="797" spans="2:2" x14ac:dyDescent="0.25">
      <c r="B797" s="27">
        <v>794</v>
      </c>
    </row>
    <row r="798" spans="2:2" x14ac:dyDescent="0.25">
      <c r="B798" s="27">
        <v>795</v>
      </c>
    </row>
    <row r="799" spans="2:2" x14ac:dyDescent="0.25">
      <c r="B799" s="27">
        <v>796</v>
      </c>
    </row>
    <row r="800" spans="2:2" x14ac:dyDescent="0.25">
      <c r="B800" s="27">
        <v>797</v>
      </c>
    </row>
    <row r="801" spans="2:2" x14ac:dyDescent="0.25">
      <c r="B801" s="27">
        <v>798</v>
      </c>
    </row>
    <row r="802" spans="2:2" x14ac:dyDescent="0.25">
      <c r="B802" s="27">
        <v>799</v>
      </c>
    </row>
    <row r="803" spans="2:2" x14ac:dyDescent="0.25">
      <c r="B803" s="27">
        <v>800</v>
      </c>
    </row>
    <row r="804" spans="2:2" x14ac:dyDescent="0.25">
      <c r="B804" s="27">
        <v>801</v>
      </c>
    </row>
    <row r="805" spans="2:2" x14ac:dyDescent="0.25">
      <c r="B805" s="27">
        <v>802</v>
      </c>
    </row>
    <row r="806" spans="2:2" x14ac:dyDescent="0.25">
      <c r="B806" s="27">
        <v>803</v>
      </c>
    </row>
    <row r="807" spans="2:2" x14ac:dyDescent="0.25">
      <c r="B807" s="27">
        <v>804</v>
      </c>
    </row>
    <row r="808" spans="2:2" x14ac:dyDescent="0.25">
      <c r="B808" s="27">
        <v>805</v>
      </c>
    </row>
    <row r="809" spans="2:2" x14ac:dyDescent="0.25">
      <c r="B809" s="27">
        <v>806</v>
      </c>
    </row>
    <row r="810" spans="2:2" x14ac:dyDescent="0.25">
      <c r="B810" s="27">
        <v>807</v>
      </c>
    </row>
    <row r="811" spans="2:2" x14ac:dyDescent="0.25">
      <c r="B811" s="27">
        <v>808</v>
      </c>
    </row>
    <row r="812" spans="2:2" x14ac:dyDescent="0.25">
      <c r="B812" s="27">
        <v>809</v>
      </c>
    </row>
    <row r="813" spans="2:2" x14ac:dyDescent="0.25">
      <c r="B813" s="27">
        <v>810</v>
      </c>
    </row>
    <row r="814" spans="2:2" x14ac:dyDescent="0.25">
      <c r="B814" s="27">
        <v>811</v>
      </c>
    </row>
    <row r="815" spans="2:2" x14ac:dyDescent="0.25">
      <c r="B815" s="27">
        <v>812</v>
      </c>
    </row>
    <row r="816" spans="2:2" x14ac:dyDescent="0.25">
      <c r="B816" s="27">
        <v>813</v>
      </c>
    </row>
    <row r="817" spans="2:2" x14ac:dyDescent="0.25">
      <c r="B817" s="27">
        <v>814</v>
      </c>
    </row>
    <row r="818" spans="2:2" x14ac:dyDescent="0.25">
      <c r="B818" s="27">
        <v>815</v>
      </c>
    </row>
    <row r="819" spans="2:2" x14ac:dyDescent="0.25">
      <c r="B819" s="27">
        <v>816</v>
      </c>
    </row>
    <row r="820" spans="2:2" x14ac:dyDescent="0.25">
      <c r="B820" s="27">
        <v>817</v>
      </c>
    </row>
    <row r="821" spans="2:2" x14ac:dyDescent="0.25">
      <c r="B821" s="27">
        <v>818</v>
      </c>
    </row>
    <row r="822" spans="2:2" x14ac:dyDescent="0.25">
      <c r="B822" s="27">
        <v>819</v>
      </c>
    </row>
    <row r="823" spans="2:2" x14ac:dyDescent="0.25">
      <c r="B823" s="27">
        <v>820</v>
      </c>
    </row>
    <row r="824" spans="2:2" x14ac:dyDescent="0.25">
      <c r="B824" s="27">
        <v>821</v>
      </c>
    </row>
    <row r="825" spans="2:2" x14ac:dyDescent="0.25">
      <c r="B825" s="27">
        <v>822</v>
      </c>
    </row>
    <row r="826" spans="2:2" x14ac:dyDescent="0.25">
      <c r="B826" s="27">
        <v>823</v>
      </c>
    </row>
    <row r="827" spans="2:2" x14ac:dyDescent="0.25">
      <c r="B827" s="27">
        <v>824</v>
      </c>
    </row>
    <row r="828" spans="2:2" x14ac:dyDescent="0.25">
      <c r="B828" s="27">
        <v>825</v>
      </c>
    </row>
    <row r="829" spans="2:2" x14ac:dyDescent="0.25">
      <c r="B829" s="27">
        <v>826</v>
      </c>
    </row>
    <row r="830" spans="2:2" x14ac:dyDescent="0.25">
      <c r="B830" s="27">
        <v>827</v>
      </c>
    </row>
    <row r="831" spans="2:2" x14ac:dyDescent="0.25">
      <c r="B831" s="27">
        <v>828</v>
      </c>
    </row>
    <row r="832" spans="2:2" x14ac:dyDescent="0.25">
      <c r="B832" s="27">
        <v>829</v>
      </c>
    </row>
    <row r="833" spans="2:2" x14ac:dyDescent="0.25">
      <c r="B833" s="27">
        <v>830</v>
      </c>
    </row>
    <row r="834" spans="2:2" x14ac:dyDescent="0.25">
      <c r="B834" s="27">
        <v>831</v>
      </c>
    </row>
    <row r="835" spans="2:2" x14ac:dyDescent="0.25">
      <c r="B835" s="27">
        <v>832</v>
      </c>
    </row>
    <row r="836" spans="2:2" x14ac:dyDescent="0.25">
      <c r="B836" s="27">
        <v>833</v>
      </c>
    </row>
    <row r="837" spans="2:2" x14ac:dyDescent="0.25">
      <c r="B837" s="27">
        <v>834</v>
      </c>
    </row>
    <row r="838" spans="2:2" x14ac:dyDescent="0.25">
      <c r="B838" s="27">
        <v>835</v>
      </c>
    </row>
    <row r="839" spans="2:2" x14ac:dyDescent="0.25">
      <c r="B839" s="27">
        <v>836</v>
      </c>
    </row>
    <row r="840" spans="2:2" x14ac:dyDescent="0.25">
      <c r="B840" s="27">
        <v>837</v>
      </c>
    </row>
    <row r="841" spans="2:2" x14ac:dyDescent="0.25">
      <c r="B841" s="27">
        <v>838</v>
      </c>
    </row>
    <row r="842" spans="2:2" x14ac:dyDescent="0.25">
      <c r="B842" s="27">
        <v>839</v>
      </c>
    </row>
    <row r="843" spans="2:2" x14ac:dyDescent="0.25">
      <c r="B843" s="27">
        <v>840</v>
      </c>
    </row>
    <row r="844" spans="2:2" x14ac:dyDescent="0.25">
      <c r="B844" s="27">
        <v>841</v>
      </c>
    </row>
    <row r="845" spans="2:2" x14ac:dyDescent="0.25">
      <c r="B845" s="27">
        <v>842</v>
      </c>
    </row>
    <row r="846" spans="2:2" x14ac:dyDescent="0.25">
      <c r="B846" s="27">
        <v>843</v>
      </c>
    </row>
    <row r="847" spans="2:2" x14ac:dyDescent="0.25">
      <c r="B847" s="27">
        <v>844</v>
      </c>
    </row>
    <row r="848" spans="2:2" x14ac:dyDescent="0.25">
      <c r="B848" s="27">
        <v>845</v>
      </c>
    </row>
    <row r="849" spans="2:2" x14ac:dyDescent="0.25">
      <c r="B849" s="27">
        <v>846</v>
      </c>
    </row>
    <row r="850" spans="2:2" x14ac:dyDescent="0.25">
      <c r="B850" s="27">
        <v>847</v>
      </c>
    </row>
    <row r="851" spans="2:2" x14ac:dyDescent="0.25">
      <c r="B851" s="27">
        <v>848</v>
      </c>
    </row>
    <row r="852" spans="2:2" x14ac:dyDescent="0.25">
      <c r="B852" s="27">
        <v>849</v>
      </c>
    </row>
    <row r="853" spans="2:2" x14ac:dyDescent="0.25">
      <c r="B853" s="27">
        <v>850</v>
      </c>
    </row>
    <row r="854" spans="2:2" x14ac:dyDescent="0.25">
      <c r="B854" s="27">
        <v>851</v>
      </c>
    </row>
    <row r="855" spans="2:2" x14ac:dyDescent="0.25">
      <c r="B855" s="27">
        <v>852</v>
      </c>
    </row>
    <row r="856" spans="2:2" x14ac:dyDescent="0.25">
      <c r="B856" s="27">
        <v>853</v>
      </c>
    </row>
    <row r="857" spans="2:2" x14ac:dyDescent="0.25">
      <c r="B857" s="27">
        <v>854</v>
      </c>
    </row>
    <row r="858" spans="2:2" x14ac:dyDescent="0.25">
      <c r="B858" s="27">
        <v>855</v>
      </c>
    </row>
    <row r="859" spans="2:2" x14ac:dyDescent="0.25">
      <c r="B859" s="27">
        <v>856</v>
      </c>
    </row>
    <row r="860" spans="2:2" x14ac:dyDescent="0.25">
      <c r="B860" s="27">
        <v>857</v>
      </c>
    </row>
    <row r="861" spans="2:2" x14ac:dyDescent="0.25">
      <c r="B861" s="27">
        <v>858</v>
      </c>
    </row>
    <row r="862" spans="2:2" x14ac:dyDescent="0.25">
      <c r="B862" s="27">
        <v>859</v>
      </c>
    </row>
    <row r="863" spans="2:2" x14ac:dyDescent="0.25">
      <c r="B863" s="27">
        <v>860</v>
      </c>
    </row>
    <row r="864" spans="2:2" x14ac:dyDescent="0.25">
      <c r="B864" s="27">
        <v>861</v>
      </c>
    </row>
    <row r="865" spans="2:2" x14ac:dyDescent="0.25">
      <c r="B865" s="27">
        <v>862</v>
      </c>
    </row>
    <row r="866" spans="2:2" x14ac:dyDescent="0.25">
      <c r="B866" s="27">
        <v>863</v>
      </c>
    </row>
    <row r="867" spans="2:2" x14ac:dyDescent="0.25">
      <c r="B867" s="27">
        <v>864</v>
      </c>
    </row>
    <row r="868" spans="2:2" x14ac:dyDescent="0.25">
      <c r="B868" s="27">
        <v>865</v>
      </c>
    </row>
    <row r="869" spans="2:2" x14ac:dyDescent="0.25">
      <c r="B869" s="27">
        <v>866</v>
      </c>
    </row>
    <row r="870" spans="2:2" x14ac:dyDescent="0.25">
      <c r="B870" s="27">
        <v>867</v>
      </c>
    </row>
    <row r="871" spans="2:2" x14ac:dyDescent="0.25">
      <c r="B871" s="27">
        <v>868</v>
      </c>
    </row>
    <row r="872" spans="2:2" x14ac:dyDescent="0.25">
      <c r="B872" s="27">
        <v>869</v>
      </c>
    </row>
    <row r="873" spans="2:2" x14ac:dyDescent="0.25">
      <c r="B873" s="27">
        <v>870</v>
      </c>
    </row>
    <row r="874" spans="2:2" x14ac:dyDescent="0.25">
      <c r="B874" s="27">
        <v>871</v>
      </c>
    </row>
    <row r="875" spans="2:2" x14ac:dyDescent="0.25">
      <c r="B875" s="27">
        <v>872</v>
      </c>
    </row>
    <row r="876" spans="2:2" x14ac:dyDescent="0.25">
      <c r="B876" s="27">
        <v>873</v>
      </c>
    </row>
    <row r="877" spans="2:2" x14ac:dyDescent="0.25">
      <c r="B877" s="27">
        <v>874</v>
      </c>
    </row>
    <row r="878" spans="2:2" x14ac:dyDescent="0.25">
      <c r="B878" s="27">
        <v>875</v>
      </c>
    </row>
    <row r="879" spans="2:2" x14ac:dyDescent="0.25">
      <c r="B879" s="27">
        <v>876</v>
      </c>
    </row>
    <row r="880" spans="2:2" x14ac:dyDescent="0.25">
      <c r="B880" s="27">
        <v>877</v>
      </c>
    </row>
    <row r="881" spans="2:2" x14ac:dyDescent="0.25">
      <c r="B881" s="27">
        <v>878</v>
      </c>
    </row>
    <row r="882" spans="2:2" x14ac:dyDescent="0.25">
      <c r="B882" s="27">
        <v>879</v>
      </c>
    </row>
    <row r="883" spans="2:2" x14ac:dyDescent="0.25">
      <c r="B883" s="27">
        <v>880</v>
      </c>
    </row>
    <row r="884" spans="2:2" x14ac:dyDescent="0.25">
      <c r="B884" s="27">
        <v>881</v>
      </c>
    </row>
    <row r="885" spans="2:2" x14ac:dyDescent="0.25">
      <c r="B885" s="27">
        <v>882</v>
      </c>
    </row>
    <row r="886" spans="2:2" x14ac:dyDescent="0.25">
      <c r="B886" s="27">
        <v>883</v>
      </c>
    </row>
    <row r="887" spans="2:2" x14ac:dyDescent="0.25">
      <c r="B887" s="27">
        <v>884</v>
      </c>
    </row>
    <row r="888" spans="2:2" x14ac:dyDescent="0.25">
      <c r="B888" s="27">
        <v>885</v>
      </c>
    </row>
    <row r="889" spans="2:2" x14ac:dyDescent="0.25">
      <c r="B889" s="27">
        <v>886</v>
      </c>
    </row>
    <row r="890" spans="2:2" x14ac:dyDescent="0.25">
      <c r="B890" s="27">
        <v>887</v>
      </c>
    </row>
    <row r="891" spans="2:2" x14ac:dyDescent="0.25">
      <c r="B891" s="27">
        <v>888</v>
      </c>
    </row>
    <row r="892" spans="2:2" x14ac:dyDescent="0.25">
      <c r="B892" s="27">
        <v>889</v>
      </c>
    </row>
    <row r="893" spans="2:2" x14ac:dyDescent="0.25">
      <c r="B893" s="27">
        <v>890</v>
      </c>
    </row>
    <row r="894" spans="2:2" x14ac:dyDescent="0.25">
      <c r="B894" s="27">
        <v>891</v>
      </c>
    </row>
    <row r="895" spans="2:2" x14ac:dyDescent="0.25">
      <c r="B895" s="27">
        <v>892</v>
      </c>
    </row>
    <row r="896" spans="2:2" x14ac:dyDescent="0.25">
      <c r="B896" s="27">
        <v>893</v>
      </c>
    </row>
    <row r="897" spans="2:2" x14ac:dyDescent="0.25">
      <c r="B897" s="27">
        <v>894</v>
      </c>
    </row>
    <row r="898" spans="2:2" x14ac:dyDescent="0.25">
      <c r="B898" s="27">
        <v>895</v>
      </c>
    </row>
    <row r="899" spans="2:2" x14ac:dyDescent="0.25">
      <c r="B899" s="27">
        <v>896</v>
      </c>
    </row>
    <row r="900" spans="2:2" x14ac:dyDescent="0.25">
      <c r="B900" s="27">
        <v>897</v>
      </c>
    </row>
    <row r="901" spans="2:2" x14ac:dyDescent="0.25">
      <c r="B901" s="27">
        <v>898</v>
      </c>
    </row>
    <row r="902" spans="2:2" x14ac:dyDescent="0.25">
      <c r="B902" s="27">
        <v>899</v>
      </c>
    </row>
    <row r="903" spans="2:2" x14ac:dyDescent="0.25">
      <c r="B903" s="27">
        <v>900</v>
      </c>
    </row>
    <row r="904" spans="2:2" x14ac:dyDescent="0.25">
      <c r="B904" s="27">
        <v>901</v>
      </c>
    </row>
    <row r="905" spans="2:2" x14ac:dyDescent="0.25">
      <c r="B905" s="27">
        <v>902</v>
      </c>
    </row>
    <row r="906" spans="2:2" x14ac:dyDescent="0.25">
      <c r="B906" s="27">
        <v>903</v>
      </c>
    </row>
    <row r="907" spans="2:2" x14ac:dyDescent="0.25">
      <c r="B907" s="27">
        <v>904</v>
      </c>
    </row>
    <row r="908" spans="2:2" x14ac:dyDescent="0.25">
      <c r="B908" s="27">
        <v>905</v>
      </c>
    </row>
    <row r="909" spans="2:2" x14ac:dyDescent="0.25">
      <c r="B909" s="27">
        <v>906</v>
      </c>
    </row>
    <row r="910" spans="2:2" x14ac:dyDescent="0.25">
      <c r="B910" s="27">
        <v>907</v>
      </c>
    </row>
    <row r="911" spans="2:2" x14ac:dyDescent="0.25">
      <c r="B911" s="27">
        <v>908</v>
      </c>
    </row>
    <row r="912" spans="2:2" x14ac:dyDescent="0.25">
      <c r="B912" s="27">
        <v>909</v>
      </c>
    </row>
    <row r="913" spans="2:2" x14ac:dyDescent="0.25">
      <c r="B913" s="27">
        <v>910</v>
      </c>
    </row>
    <row r="914" spans="2:2" x14ac:dyDescent="0.25">
      <c r="B914" s="27">
        <v>911</v>
      </c>
    </row>
    <row r="915" spans="2:2" x14ac:dyDescent="0.25">
      <c r="B915" s="27">
        <v>912</v>
      </c>
    </row>
    <row r="916" spans="2:2" x14ac:dyDescent="0.25">
      <c r="B916" s="27">
        <v>913</v>
      </c>
    </row>
    <row r="917" spans="2:2" x14ac:dyDescent="0.25">
      <c r="B917" s="27">
        <v>914</v>
      </c>
    </row>
    <row r="918" spans="2:2" x14ac:dyDescent="0.25">
      <c r="B918" s="27">
        <v>915</v>
      </c>
    </row>
    <row r="919" spans="2:2" x14ac:dyDescent="0.25">
      <c r="B919" s="27">
        <v>916</v>
      </c>
    </row>
    <row r="920" spans="2:2" x14ac:dyDescent="0.25">
      <c r="B920" s="27">
        <v>917</v>
      </c>
    </row>
    <row r="921" spans="2:2" x14ac:dyDescent="0.25">
      <c r="B921" s="27">
        <v>918</v>
      </c>
    </row>
    <row r="922" spans="2:2" x14ac:dyDescent="0.25">
      <c r="B922" s="27">
        <v>919</v>
      </c>
    </row>
    <row r="923" spans="2:2" x14ac:dyDescent="0.25">
      <c r="B923" s="27">
        <v>920</v>
      </c>
    </row>
    <row r="924" spans="2:2" x14ac:dyDescent="0.25">
      <c r="B924" s="27">
        <v>921</v>
      </c>
    </row>
    <row r="925" spans="2:2" x14ac:dyDescent="0.25">
      <c r="B925" s="27">
        <v>922</v>
      </c>
    </row>
    <row r="926" spans="2:2" x14ac:dyDescent="0.25">
      <c r="B926" s="27">
        <v>923</v>
      </c>
    </row>
    <row r="927" spans="2:2" x14ac:dyDescent="0.25">
      <c r="B927" s="27">
        <v>924</v>
      </c>
    </row>
    <row r="928" spans="2:2" x14ac:dyDescent="0.25">
      <c r="B928" s="27">
        <v>925</v>
      </c>
    </row>
    <row r="929" spans="2:2" x14ac:dyDescent="0.25">
      <c r="B929" s="27">
        <v>926</v>
      </c>
    </row>
    <row r="930" spans="2:2" x14ac:dyDescent="0.25">
      <c r="B930" s="27">
        <v>927</v>
      </c>
    </row>
    <row r="931" spans="2:2" x14ac:dyDescent="0.25">
      <c r="B931" s="27">
        <v>928</v>
      </c>
    </row>
    <row r="932" spans="2:2" x14ac:dyDescent="0.25">
      <c r="B932" s="27">
        <v>929</v>
      </c>
    </row>
    <row r="933" spans="2:2" x14ac:dyDescent="0.25">
      <c r="B933" s="27">
        <v>930</v>
      </c>
    </row>
    <row r="934" spans="2:2" x14ac:dyDescent="0.25">
      <c r="B934" s="27">
        <v>931</v>
      </c>
    </row>
    <row r="935" spans="2:2" x14ac:dyDescent="0.25">
      <c r="B935" s="27">
        <v>932</v>
      </c>
    </row>
    <row r="936" spans="2:2" x14ac:dyDescent="0.25">
      <c r="B936" s="27">
        <v>933</v>
      </c>
    </row>
    <row r="937" spans="2:2" x14ac:dyDescent="0.25">
      <c r="B937" s="27">
        <v>934</v>
      </c>
    </row>
    <row r="938" spans="2:2" x14ac:dyDescent="0.25">
      <c r="B938" s="27">
        <v>935</v>
      </c>
    </row>
    <row r="939" spans="2:2" x14ac:dyDescent="0.25">
      <c r="B939" s="27">
        <v>936</v>
      </c>
    </row>
    <row r="940" spans="2:2" x14ac:dyDescent="0.25">
      <c r="B940" s="27">
        <v>937</v>
      </c>
    </row>
    <row r="941" spans="2:2" x14ac:dyDescent="0.25">
      <c r="B941" s="27">
        <v>938</v>
      </c>
    </row>
    <row r="942" spans="2:2" x14ac:dyDescent="0.25">
      <c r="B942" s="27">
        <v>939</v>
      </c>
    </row>
  </sheetData>
  <sheetProtection algorithmName="SHA-512" hashValue="Ln05XnLX8HPeEDibsbywh8ofkORGg08eHZlGIerxATeiTYEi/p7pFNZjoCIL+taiHTa7a3DM/3gSgmQycVT7Mg==" saltValue="guQ1lAExcbdGA6gGGS9CDw==" spinCount="100000" sheet="1" objects="1" scenarios="1"/>
  <mergeCells count="447">
    <mergeCell ref="B1:C2"/>
    <mergeCell ref="D1:D2"/>
    <mergeCell ref="E1:E2"/>
    <mergeCell ref="F1:F2"/>
    <mergeCell ref="M1:M2"/>
    <mergeCell ref="N1:N2"/>
    <mergeCell ref="O1:O2"/>
    <mergeCell ref="P1:P2"/>
    <mergeCell ref="Q1:Q2"/>
    <mergeCell ref="R1:R2"/>
    <mergeCell ref="G1:G2"/>
    <mergeCell ref="H1:H2"/>
    <mergeCell ref="I1:I2"/>
    <mergeCell ref="J1:J2"/>
    <mergeCell ref="K1:K2"/>
    <mergeCell ref="L1:L2"/>
    <mergeCell ref="Y1:Y2"/>
    <mergeCell ref="Z1:Z2"/>
    <mergeCell ref="AA1:AA2"/>
    <mergeCell ref="AB1:AB2"/>
    <mergeCell ref="AC1:AC2"/>
    <mergeCell ref="AD1:AD2"/>
    <mergeCell ref="S1:S2"/>
    <mergeCell ref="T1:T2"/>
    <mergeCell ref="U1:U2"/>
    <mergeCell ref="V1:V2"/>
    <mergeCell ref="W1:W2"/>
    <mergeCell ref="X1:X2"/>
    <mergeCell ref="AK1:AK2"/>
    <mergeCell ref="AL1:AL2"/>
    <mergeCell ref="AM1:AM2"/>
    <mergeCell ref="AN1:AN2"/>
    <mergeCell ref="AO1:AO2"/>
    <mergeCell ref="AP1:AP2"/>
    <mergeCell ref="AE1:AE2"/>
    <mergeCell ref="AF1:AF2"/>
    <mergeCell ref="AG1:AG2"/>
    <mergeCell ref="AH1:AH2"/>
    <mergeCell ref="AI1:AI2"/>
    <mergeCell ref="AJ1:AJ2"/>
    <mergeCell ref="AW1:AW2"/>
    <mergeCell ref="AX1:AX2"/>
    <mergeCell ref="AY1:AY2"/>
    <mergeCell ref="AZ1:AZ2"/>
    <mergeCell ref="BA1:BA2"/>
    <mergeCell ref="BB1:BB2"/>
    <mergeCell ref="AQ1:AQ2"/>
    <mergeCell ref="AR1:AR2"/>
    <mergeCell ref="AS1:AS2"/>
    <mergeCell ref="AT1:AT2"/>
    <mergeCell ref="AU1:AU2"/>
    <mergeCell ref="AV1:AV2"/>
    <mergeCell ref="BI1:BI2"/>
    <mergeCell ref="BJ1:BJ2"/>
    <mergeCell ref="BK1:BK2"/>
    <mergeCell ref="BL1:BL2"/>
    <mergeCell ref="BM1:BM2"/>
    <mergeCell ref="BN1:BN2"/>
    <mergeCell ref="BC1:BC2"/>
    <mergeCell ref="BD1:BD2"/>
    <mergeCell ref="BE1:BE2"/>
    <mergeCell ref="BF1:BF2"/>
    <mergeCell ref="BG1:BG2"/>
    <mergeCell ref="BH1:BH2"/>
    <mergeCell ref="BU1:BU2"/>
    <mergeCell ref="BV1:BV2"/>
    <mergeCell ref="BW1:BW2"/>
    <mergeCell ref="BX1:BX2"/>
    <mergeCell ref="BY1:BY2"/>
    <mergeCell ref="BZ1:BZ2"/>
    <mergeCell ref="BO1:BO2"/>
    <mergeCell ref="BP1:BP2"/>
    <mergeCell ref="BQ1:BQ2"/>
    <mergeCell ref="BR1:BR2"/>
    <mergeCell ref="BS1:BS2"/>
    <mergeCell ref="BT1:BT2"/>
    <mergeCell ref="CG1:CG2"/>
    <mergeCell ref="CH1:CH2"/>
    <mergeCell ref="CI1:CI2"/>
    <mergeCell ref="CJ1:CJ2"/>
    <mergeCell ref="CK1:CK2"/>
    <mergeCell ref="CL1:CL2"/>
    <mergeCell ref="CA1:CA2"/>
    <mergeCell ref="CB1:CB2"/>
    <mergeCell ref="CC1:CC2"/>
    <mergeCell ref="CD1:CD2"/>
    <mergeCell ref="CE1:CE2"/>
    <mergeCell ref="CF1:CF2"/>
    <mergeCell ref="CS1:CS2"/>
    <mergeCell ref="CT1:CT2"/>
    <mergeCell ref="CU1:CU2"/>
    <mergeCell ref="CV1:CV2"/>
    <mergeCell ref="CW1:CW2"/>
    <mergeCell ref="CX1:CX2"/>
    <mergeCell ref="CM1:CM2"/>
    <mergeCell ref="CN1:CN2"/>
    <mergeCell ref="CO1:CO2"/>
    <mergeCell ref="CP1:CP2"/>
    <mergeCell ref="CQ1:CQ2"/>
    <mergeCell ref="CR1:CR2"/>
    <mergeCell ref="DE1:DE2"/>
    <mergeCell ref="DF1:DF2"/>
    <mergeCell ref="DG1:DG2"/>
    <mergeCell ref="DH1:DH2"/>
    <mergeCell ref="DI1:DI2"/>
    <mergeCell ref="DJ1:DJ2"/>
    <mergeCell ref="CY1:CY2"/>
    <mergeCell ref="CZ1:CZ2"/>
    <mergeCell ref="DA1:DA2"/>
    <mergeCell ref="DB1:DB2"/>
    <mergeCell ref="DC1:DC2"/>
    <mergeCell ref="DD1:DD2"/>
    <mergeCell ref="DQ1:DQ2"/>
    <mergeCell ref="DR1:DR2"/>
    <mergeCell ref="DS1:DS2"/>
    <mergeCell ref="DT1:DT2"/>
    <mergeCell ref="DU1:DU2"/>
    <mergeCell ref="DV1:DV2"/>
    <mergeCell ref="DK1:DK2"/>
    <mergeCell ref="DL1:DL2"/>
    <mergeCell ref="DM1:DM2"/>
    <mergeCell ref="DN1:DN2"/>
    <mergeCell ref="DO1:DO2"/>
    <mergeCell ref="DP1:DP2"/>
    <mergeCell ref="EC1:EC2"/>
    <mergeCell ref="ED1:ED2"/>
    <mergeCell ref="EE1:EE2"/>
    <mergeCell ref="EF1:EF2"/>
    <mergeCell ref="EG1:EG2"/>
    <mergeCell ref="EH1:EH2"/>
    <mergeCell ref="DW1:DW2"/>
    <mergeCell ref="DX1:DX2"/>
    <mergeCell ref="DY1:DY2"/>
    <mergeCell ref="DZ1:DZ2"/>
    <mergeCell ref="EA1:EA2"/>
    <mergeCell ref="EB1:EB2"/>
    <mergeCell ref="EO1:EO2"/>
    <mergeCell ref="EP1:EP2"/>
    <mergeCell ref="EQ1:EQ2"/>
    <mergeCell ref="ER1:ER2"/>
    <mergeCell ref="ES1:ES2"/>
    <mergeCell ref="ET1:ET2"/>
    <mergeCell ref="EI1:EI2"/>
    <mergeCell ref="EJ1:EJ2"/>
    <mergeCell ref="EK1:EK2"/>
    <mergeCell ref="EL1:EL2"/>
    <mergeCell ref="EM1:EM2"/>
    <mergeCell ref="EN1:EN2"/>
    <mergeCell ref="FA1:FA2"/>
    <mergeCell ref="FB1:FB2"/>
    <mergeCell ref="FC1:FC2"/>
    <mergeCell ref="FD1:FD2"/>
    <mergeCell ref="FE1:FE2"/>
    <mergeCell ref="FF1:FF2"/>
    <mergeCell ref="EU1:EU2"/>
    <mergeCell ref="EV1:EV2"/>
    <mergeCell ref="EW1:EW2"/>
    <mergeCell ref="EX1:EX2"/>
    <mergeCell ref="EY1:EY2"/>
    <mergeCell ref="EZ1:EZ2"/>
    <mergeCell ref="FM1:FM2"/>
    <mergeCell ref="FN1:FN2"/>
    <mergeCell ref="FO1:FO2"/>
    <mergeCell ref="FP1:FP2"/>
    <mergeCell ref="FQ1:FQ2"/>
    <mergeCell ref="FR1:FR2"/>
    <mergeCell ref="FG1:FG2"/>
    <mergeCell ref="FH1:FH2"/>
    <mergeCell ref="FI1:FI2"/>
    <mergeCell ref="FJ1:FJ2"/>
    <mergeCell ref="FK1:FK2"/>
    <mergeCell ref="FL1:FL2"/>
    <mergeCell ref="FY1:FY2"/>
    <mergeCell ref="FZ1:FZ2"/>
    <mergeCell ref="GA1:GA2"/>
    <mergeCell ref="GB1:GB2"/>
    <mergeCell ref="GC1:GC2"/>
    <mergeCell ref="GD1:GD2"/>
    <mergeCell ref="FS1:FS2"/>
    <mergeCell ref="FT1:FT2"/>
    <mergeCell ref="FU1:FU2"/>
    <mergeCell ref="FV1:FV2"/>
    <mergeCell ref="FW1:FW2"/>
    <mergeCell ref="FX1:FX2"/>
    <mergeCell ref="GK1:GK2"/>
    <mergeCell ref="GL1:GL2"/>
    <mergeCell ref="GM1:GM2"/>
    <mergeCell ref="GN1:GN2"/>
    <mergeCell ref="GO1:GO2"/>
    <mergeCell ref="GP1:GP2"/>
    <mergeCell ref="GE1:GE2"/>
    <mergeCell ref="GF1:GF2"/>
    <mergeCell ref="GG1:GG2"/>
    <mergeCell ref="GH1:GH2"/>
    <mergeCell ref="GI1:GI2"/>
    <mergeCell ref="GJ1:GJ2"/>
    <mergeCell ref="GW1:GW2"/>
    <mergeCell ref="GX1:GX2"/>
    <mergeCell ref="GY1:GY2"/>
    <mergeCell ref="GZ1:GZ2"/>
    <mergeCell ref="HA1:HA2"/>
    <mergeCell ref="HB1:HB2"/>
    <mergeCell ref="GQ1:GQ2"/>
    <mergeCell ref="GR1:GR2"/>
    <mergeCell ref="GS1:GS2"/>
    <mergeCell ref="GT1:GT2"/>
    <mergeCell ref="GU1:GU2"/>
    <mergeCell ref="GV1:GV2"/>
    <mergeCell ref="HI1:HI2"/>
    <mergeCell ref="HJ1:HJ2"/>
    <mergeCell ref="HK1:HK2"/>
    <mergeCell ref="HL1:HL2"/>
    <mergeCell ref="HM1:HM2"/>
    <mergeCell ref="HN1:HN2"/>
    <mergeCell ref="HC1:HC2"/>
    <mergeCell ref="HD1:HD2"/>
    <mergeCell ref="HE1:HE2"/>
    <mergeCell ref="HF1:HF2"/>
    <mergeCell ref="HG1:HG2"/>
    <mergeCell ref="HH1:HH2"/>
    <mergeCell ref="HU1:HU2"/>
    <mergeCell ref="HV1:HV2"/>
    <mergeCell ref="HW1:HW2"/>
    <mergeCell ref="HX1:HX2"/>
    <mergeCell ref="HY1:HY2"/>
    <mergeCell ref="HZ1:HZ2"/>
    <mergeCell ref="HO1:HO2"/>
    <mergeCell ref="HP1:HP2"/>
    <mergeCell ref="HQ1:HQ2"/>
    <mergeCell ref="HR1:HR2"/>
    <mergeCell ref="HS1:HS2"/>
    <mergeCell ref="HT1:HT2"/>
    <mergeCell ref="IG1:IG2"/>
    <mergeCell ref="IH1:IH2"/>
    <mergeCell ref="II1:II2"/>
    <mergeCell ref="IJ1:IJ2"/>
    <mergeCell ref="IK1:IK2"/>
    <mergeCell ref="IL1:IL2"/>
    <mergeCell ref="IA1:IA2"/>
    <mergeCell ref="IB1:IB2"/>
    <mergeCell ref="IC1:IC2"/>
    <mergeCell ref="ID1:ID2"/>
    <mergeCell ref="IE1:IE2"/>
    <mergeCell ref="IF1:IF2"/>
    <mergeCell ref="IS1:IS2"/>
    <mergeCell ref="IT1:IT2"/>
    <mergeCell ref="IU1:IU2"/>
    <mergeCell ref="IV1:IV2"/>
    <mergeCell ref="IW1:IW2"/>
    <mergeCell ref="IX1:IX2"/>
    <mergeCell ref="IM1:IM2"/>
    <mergeCell ref="IN1:IN2"/>
    <mergeCell ref="IO1:IO2"/>
    <mergeCell ref="IP1:IP2"/>
    <mergeCell ref="IQ1:IQ2"/>
    <mergeCell ref="IR1:IR2"/>
    <mergeCell ref="JE1:JE2"/>
    <mergeCell ref="JF1:JF2"/>
    <mergeCell ref="JG1:JG2"/>
    <mergeCell ref="JH1:JH2"/>
    <mergeCell ref="JI1:JI2"/>
    <mergeCell ref="JJ1:JJ2"/>
    <mergeCell ref="IY1:IY2"/>
    <mergeCell ref="IZ1:IZ2"/>
    <mergeCell ref="JA1:JA2"/>
    <mergeCell ref="JB1:JB2"/>
    <mergeCell ref="JC1:JC2"/>
    <mergeCell ref="JD1:JD2"/>
    <mergeCell ref="JQ1:JQ2"/>
    <mergeCell ref="JR1:JR2"/>
    <mergeCell ref="JS1:JS2"/>
    <mergeCell ref="JT1:JT2"/>
    <mergeCell ref="JU1:JU2"/>
    <mergeCell ref="JV1:JV2"/>
    <mergeCell ref="JK1:JK2"/>
    <mergeCell ref="JL1:JL2"/>
    <mergeCell ref="JM1:JM2"/>
    <mergeCell ref="JN1:JN2"/>
    <mergeCell ref="JO1:JO2"/>
    <mergeCell ref="JP1:JP2"/>
    <mergeCell ref="KC1:KC2"/>
    <mergeCell ref="KD1:KD2"/>
    <mergeCell ref="KE1:KE2"/>
    <mergeCell ref="KF1:KF2"/>
    <mergeCell ref="KG1:KG2"/>
    <mergeCell ref="KH1:KH2"/>
    <mergeCell ref="JW1:JW2"/>
    <mergeCell ref="JX1:JX2"/>
    <mergeCell ref="JY1:JY2"/>
    <mergeCell ref="JZ1:JZ2"/>
    <mergeCell ref="KA1:KA2"/>
    <mergeCell ref="KB1:KB2"/>
    <mergeCell ref="KO1:KO2"/>
    <mergeCell ref="KP1:KP2"/>
    <mergeCell ref="KQ1:KQ2"/>
    <mergeCell ref="KR1:KR2"/>
    <mergeCell ref="KS1:KS2"/>
    <mergeCell ref="KT1:KT2"/>
    <mergeCell ref="KI1:KI2"/>
    <mergeCell ref="KJ1:KJ2"/>
    <mergeCell ref="KK1:KK2"/>
    <mergeCell ref="KL1:KL2"/>
    <mergeCell ref="KM1:KM2"/>
    <mergeCell ref="KN1:KN2"/>
    <mergeCell ref="LA1:LA2"/>
    <mergeCell ref="LB1:LB2"/>
    <mergeCell ref="LC1:LC2"/>
    <mergeCell ref="LD1:LD2"/>
    <mergeCell ref="LE1:LE2"/>
    <mergeCell ref="LF1:LF2"/>
    <mergeCell ref="KU1:KU2"/>
    <mergeCell ref="KV1:KV2"/>
    <mergeCell ref="KW1:KW2"/>
    <mergeCell ref="KX1:KX2"/>
    <mergeCell ref="KY1:KY2"/>
    <mergeCell ref="KZ1:KZ2"/>
    <mergeCell ref="LM1:LM2"/>
    <mergeCell ref="LN1:LN2"/>
    <mergeCell ref="LO1:LO2"/>
    <mergeCell ref="LP1:LP2"/>
    <mergeCell ref="LQ1:LQ2"/>
    <mergeCell ref="LR1:LR2"/>
    <mergeCell ref="LG1:LG2"/>
    <mergeCell ref="LH1:LH2"/>
    <mergeCell ref="LI1:LI2"/>
    <mergeCell ref="LJ1:LJ2"/>
    <mergeCell ref="LK1:LK2"/>
    <mergeCell ref="LL1:LL2"/>
    <mergeCell ref="LY1:LY2"/>
    <mergeCell ref="LZ1:LZ2"/>
    <mergeCell ref="MA1:MA2"/>
    <mergeCell ref="MB1:MB2"/>
    <mergeCell ref="MC1:MC2"/>
    <mergeCell ref="MD1:MD2"/>
    <mergeCell ref="LS1:LS2"/>
    <mergeCell ref="LT1:LT2"/>
    <mergeCell ref="LU1:LU2"/>
    <mergeCell ref="LV1:LV2"/>
    <mergeCell ref="LW1:LW2"/>
    <mergeCell ref="LX1:LX2"/>
    <mergeCell ref="MK1:MK2"/>
    <mergeCell ref="ML1:ML2"/>
    <mergeCell ref="MM1:MM2"/>
    <mergeCell ref="MN1:MN2"/>
    <mergeCell ref="MO1:MO2"/>
    <mergeCell ref="MP1:MP2"/>
    <mergeCell ref="ME1:ME2"/>
    <mergeCell ref="MF1:MF2"/>
    <mergeCell ref="MG1:MG2"/>
    <mergeCell ref="MH1:MH2"/>
    <mergeCell ref="MI1:MI2"/>
    <mergeCell ref="MJ1:MJ2"/>
    <mergeCell ref="MW1:MW2"/>
    <mergeCell ref="MX1:MX2"/>
    <mergeCell ref="MY1:MY2"/>
    <mergeCell ref="MZ1:MZ2"/>
    <mergeCell ref="NA1:NA2"/>
    <mergeCell ref="NB1:NB2"/>
    <mergeCell ref="MQ1:MQ2"/>
    <mergeCell ref="MR1:MR2"/>
    <mergeCell ref="MS1:MS2"/>
    <mergeCell ref="MT1:MT2"/>
    <mergeCell ref="MU1:MU2"/>
    <mergeCell ref="MV1:MV2"/>
    <mergeCell ref="NI1:NI2"/>
    <mergeCell ref="NJ1:NJ2"/>
    <mergeCell ref="NK1:NK2"/>
    <mergeCell ref="NL1:NL2"/>
    <mergeCell ref="NM1:NM2"/>
    <mergeCell ref="NN1:NN2"/>
    <mergeCell ref="NC1:NC2"/>
    <mergeCell ref="ND1:ND2"/>
    <mergeCell ref="NE1:NE2"/>
    <mergeCell ref="NF1:NF2"/>
    <mergeCell ref="NG1:NG2"/>
    <mergeCell ref="NH1:NH2"/>
    <mergeCell ref="NU1:NU2"/>
    <mergeCell ref="NV1:NV2"/>
    <mergeCell ref="NW1:NW2"/>
    <mergeCell ref="NX1:NX2"/>
    <mergeCell ref="NY1:NY2"/>
    <mergeCell ref="NZ1:NZ2"/>
    <mergeCell ref="NO1:NO2"/>
    <mergeCell ref="NP1:NP2"/>
    <mergeCell ref="NQ1:NQ2"/>
    <mergeCell ref="NR1:NR2"/>
    <mergeCell ref="NS1:NS2"/>
    <mergeCell ref="NT1:NT2"/>
    <mergeCell ref="OG1:OG2"/>
    <mergeCell ref="OH1:OH2"/>
    <mergeCell ref="OI1:OI2"/>
    <mergeCell ref="OJ1:OJ2"/>
    <mergeCell ref="OK1:OK2"/>
    <mergeCell ref="OL1:OL2"/>
    <mergeCell ref="OA1:OA2"/>
    <mergeCell ref="OB1:OB2"/>
    <mergeCell ref="OC1:OC2"/>
    <mergeCell ref="OD1:OD2"/>
    <mergeCell ref="OE1:OE2"/>
    <mergeCell ref="OF1:OF2"/>
    <mergeCell ref="OS1:OS2"/>
    <mergeCell ref="OT1:OT2"/>
    <mergeCell ref="OU1:OU2"/>
    <mergeCell ref="OV1:OV2"/>
    <mergeCell ref="OW1:OW2"/>
    <mergeCell ref="OX1:OX2"/>
    <mergeCell ref="OM1:OM2"/>
    <mergeCell ref="ON1:ON2"/>
    <mergeCell ref="OO1:OO2"/>
    <mergeCell ref="OP1:OP2"/>
    <mergeCell ref="OQ1:OQ2"/>
    <mergeCell ref="OR1:OR2"/>
    <mergeCell ref="PE1:PE2"/>
    <mergeCell ref="PF1:PF2"/>
    <mergeCell ref="PG1:PG2"/>
    <mergeCell ref="PH1:PH2"/>
    <mergeCell ref="PI1:PI2"/>
    <mergeCell ref="PJ1:PJ2"/>
    <mergeCell ref="OY1:OY2"/>
    <mergeCell ref="OZ1:OZ2"/>
    <mergeCell ref="PA1:PA2"/>
    <mergeCell ref="PB1:PB2"/>
    <mergeCell ref="PC1:PC2"/>
    <mergeCell ref="PD1:PD2"/>
    <mergeCell ref="PQ1:PQ2"/>
    <mergeCell ref="PR1:PR2"/>
    <mergeCell ref="PS1:PS2"/>
    <mergeCell ref="PT1:PT2"/>
    <mergeCell ref="PU1:PU2"/>
    <mergeCell ref="PV1:PV2"/>
    <mergeCell ref="PK1:PK2"/>
    <mergeCell ref="PL1:PL2"/>
    <mergeCell ref="PM1:PM2"/>
    <mergeCell ref="PN1:PN2"/>
    <mergeCell ref="PO1:PO2"/>
    <mergeCell ref="PP1:PP2"/>
    <mergeCell ref="QC1:QC2"/>
    <mergeCell ref="QD1:QD2"/>
    <mergeCell ref="QE1:QE2"/>
    <mergeCell ref="QF1:QF2"/>
    <mergeCell ref="QG1:QG2"/>
    <mergeCell ref="PW1:PW2"/>
    <mergeCell ref="PX1:PX2"/>
    <mergeCell ref="PY1:PY2"/>
    <mergeCell ref="PZ1:PZ2"/>
    <mergeCell ref="QA1:QA2"/>
    <mergeCell ref="QB1:QB2"/>
  </mergeCells>
  <phoneticPr fontId="9" type="noConversion"/>
  <dataValidations count="1">
    <dataValidation allowBlank="1" showErrorMessage="1" promptTitle="提示" prompt="点击该行，再点击清空单行" sqref="A3:A5"/>
  </dataValidations>
  <pageMargins left="0.75" right="0.75" top="1" bottom="1" header="0.51180555555555596" footer="0.51180555555555596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3" name="Button 4">
              <controlPr defaultSize="0" print="0" autoFill="0" autoPict="0" macro="[0]!清空单行历史">
                <anchor moveWithCells="1" sizeWithCells="1">
                  <from>
                    <xdr:col>0</xdr:col>
                    <xdr:colOff>0</xdr:colOff>
                    <xdr:row>2</xdr:row>
                    <xdr:rowOff>7620</xdr:rowOff>
                  </from>
                  <to>
                    <xdr:col>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4" name="Button 7">
              <controlPr defaultSize="0" print="0" autoFill="0" autoPict="0" macro="[0]!清空全部历史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20"/>
  <sheetViews>
    <sheetView workbookViewId="0">
      <selection activeCell="C49" sqref="C49"/>
    </sheetView>
  </sheetViews>
  <sheetFormatPr defaultColWidth="8.88671875" defaultRowHeight="14.4" x14ac:dyDescent="0.25"/>
  <sheetData>
    <row r="1" spans="1:6" x14ac:dyDescent="0.25">
      <c r="A1" s="63" t="s">
        <v>41</v>
      </c>
      <c r="B1" s="63"/>
      <c r="C1" s="63"/>
      <c r="E1" s="64" t="s">
        <v>70</v>
      </c>
      <c r="F1" s="64"/>
    </row>
    <row r="2" spans="1:6" x14ac:dyDescent="0.25">
      <c r="A2" s="63"/>
      <c r="B2" s="63"/>
      <c r="C2" s="63"/>
      <c r="E2" s="30" t="s">
        <v>71</v>
      </c>
      <c r="F2" s="31" t="s">
        <v>72</v>
      </c>
    </row>
    <row r="3" spans="1:6" x14ac:dyDescent="0.25">
      <c r="A3" s="1" t="s">
        <v>2</v>
      </c>
      <c r="B3" s="1" t="s">
        <v>42</v>
      </c>
      <c r="C3" s="1" t="s">
        <v>43</v>
      </c>
      <c r="E3" s="30" t="s">
        <v>73</v>
      </c>
      <c r="F3" s="31" t="s">
        <v>72</v>
      </c>
    </row>
    <row r="4" spans="1:6" x14ac:dyDescent="0.25">
      <c r="A4" s="2">
        <v>1</v>
      </c>
      <c r="B4" s="3" t="s">
        <v>44</v>
      </c>
      <c r="C4" s="3">
        <v>0.95</v>
      </c>
    </row>
    <row r="5" spans="1:6" x14ac:dyDescent="0.25">
      <c r="A5" s="2">
        <v>2</v>
      </c>
      <c r="B5" s="3" t="s">
        <v>45</v>
      </c>
      <c r="C5" s="3">
        <v>7</v>
      </c>
      <c r="E5" s="65" t="s">
        <v>70</v>
      </c>
      <c r="F5" s="66"/>
    </row>
    <row r="6" spans="1:6" x14ac:dyDescent="0.25">
      <c r="A6" s="2">
        <v>3</v>
      </c>
      <c r="B6" s="3" t="s">
        <v>46</v>
      </c>
      <c r="C6" s="3">
        <v>147</v>
      </c>
      <c r="E6" s="32" t="str">
        <f>E2</f>
        <v>余额小数</v>
      </c>
      <c r="F6" s="32">
        <f>IF(F2="否",0,1)</f>
        <v>1</v>
      </c>
    </row>
    <row r="7" spans="1:6" x14ac:dyDescent="0.25">
      <c r="A7" s="2">
        <v>4</v>
      </c>
      <c r="B7" s="3" t="s">
        <v>47</v>
      </c>
      <c r="C7" s="3">
        <v>49</v>
      </c>
      <c r="E7" s="32" t="str">
        <f>E3</f>
        <v>福利小数</v>
      </c>
      <c r="F7" s="32">
        <f>IF(F3="否",0,1)</f>
        <v>1</v>
      </c>
    </row>
    <row r="8" spans="1:6" x14ac:dyDescent="0.25">
      <c r="A8" s="2">
        <v>5</v>
      </c>
      <c r="B8" s="3" t="s">
        <v>48</v>
      </c>
      <c r="C8" s="3">
        <v>17</v>
      </c>
    </row>
    <row r="9" spans="1:6" x14ac:dyDescent="0.25">
      <c r="A9" s="2">
        <v>6</v>
      </c>
      <c r="B9" s="3" t="s">
        <v>49</v>
      </c>
      <c r="C9" s="3">
        <v>13</v>
      </c>
    </row>
    <row r="10" spans="1:6" x14ac:dyDescent="0.25">
      <c r="A10" s="2">
        <v>7</v>
      </c>
      <c r="B10" s="3" t="s">
        <v>50</v>
      </c>
      <c r="C10" s="3">
        <v>11</v>
      </c>
    </row>
    <row r="11" spans="1:6" x14ac:dyDescent="0.25">
      <c r="A11" s="2">
        <v>8</v>
      </c>
      <c r="B11" s="3" t="s">
        <v>51</v>
      </c>
      <c r="C11" s="3">
        <v>9</v>
      </c>
    </row>
    <row r="12" spans="1:6" x14ac:dyDescent="0.25">
      <c r="A12" s="2">
        <v>9</v>
      </c>
      <c r="B12" s="3" t="s">
        <v>52</v>
      </c>
      <c r="C12" s="3">
        <v>5</v>
      </c>
    </row>
    <row r="13" spans="1:6" x14ac:dyDescent="0.25">
      <c r="A13" s="2">
        <v>10</v>
      </c>
      <c r="B13" s="3" t="s">
        <v>53</v>
      </c>
      <c r="C13" s="3">
        <v>5</v>
      </c>
    </row>
    <row r="14" spans="1:6" x14ac:dyDescent="0.25">
      <c r="A14" s="2">
        <v>11</v>
      </c>
      <c r="B14" s="3" t="s">
        <v>54</v>
      </c>
      <c r="C14" s="3">
        <v>5</v>
      </c>
    </row>
    <row r="15" spans="1:6" x14ac:dyDescent="0.25">
      <c r="A15" s="2">
        <v>12</v>
      </c>
      <c r="B15" s="3" t="s">
        <v>55</v>
      </c>
      <c r="C15" s="3">
        <v>5</v>
      </c>
    </row>
    <row r="16" spans="1:6" x14ac:dyDescent="0.25">
      <c r="A16" s="2">
        <v>13</v>
      </c>
      <c r="B16" s="3" t="s">
        <v>56</v>
      </c>
      <c r="C16" s="3">
        <v>9</v>
      </c>
    </row>
    <row r="17" spans="1:3" x14ac:dyDescent="0.25">
      <c r="A17" s="2">
        <v>14</v>
      </c>
      <c r="B17" s="3" t="s">
        <v>57</v>
      </c>
      <c r="C17" s="3">
        <v>11</v>
      </c>
    </row>
    <row r="18" spans="1:3" x14ac:dyDescent="0.25">
      <c r="A18" s="2">
        <v>15</v>
      </c>
      <c r="B18" s="3" t="s">
        <v>58</v>
      </c>
      <c r="C18" s="3">
        <v>13</v>
      </c>
    </row>
    <row r="19" spans="1:3" x14ac:dyDescent="0.25">
      <c r="A19" s="2">
        <v>16</v>
      </c>
      <c r="B19" s="3" t="s">
        <v>59</v>
      </c>
      <c r="C19" s="3">
        <v>17</v>
      </c>
    </row>
    <row r="20" spans="1:3" x14ac:dyDescent="0.25">
      <c r="A20" s="2">
        <v>17</v>
      </c>
      <c r="B20" s="3" t="s">
        <v>60</v>
      </c>
      <c r="C20" s="3">
        <v>49</v>
      </c>
    </row>
  </sheetData>
  <sheetProtection algorithmName="SHA-512" hashValue="7FRNIWwJatet4zrB63v3epGCwvH2dlKz3RfvK/R+abAgkOgmuTwSN6miDRFilnYQGViGPFWqQKPJVWE6UZ0sdw==" saltValue="gjQ05Z7E3uHFdNiSRDApDg==" spinCount="100000" sheet="1" objects="1" scenarios="1"/>
  <mergeCells count="3">
    <mergeCell ref="A1:C2"/>
    <mergeCell ref="E1:F1"/>
    <mergeCell ref="E5:F5"/>
  </mergeCells>
  <phoneticPr fontId="9" type="noConversion"/>
  <dataValidations count="1">
    <dataValidation type="list" allowBlank="1" showInputMessage="1" showErrorMessage="1" errorTitle="数据错误" error="只能选择”是“”否“" sqref="F2:F3">
      <formula1>"是,否"</formula1>
    </dataValidation>
  </dataValidations>
  <pageMargins left="0.75" right="0.75" top="1" bottom="1" header="0.51180555555555596" footer="0.51180555555555596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下注输入</vt:lpstr>
      <vt:lpstr>上分记录</vt:lpstr>
      <vt:lpstr>历史账单</vt:lpstr>
      <vt:lpstr>赔率设置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2019-02-11T06:43:06Z</dcterms:created>
  <dcterms:modified xsi:type="dcterms:W3CDTF">2019-02-20T09:06:10Z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2052-11.1.0.8214</vt:lpwstr>
  </property>
</Properties>
</file>